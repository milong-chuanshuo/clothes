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activeTab="1"/>
  </bookViews>
  <sheets>
    <sheet name="step02图片链接" sheetId="5" r:id="rId1"/>
    <sheet name="step01标题尺码信息" sheetId="3" r:id="rId2"/>
    <sheet name="Corlor" sheetId="10" r:id="rId3"/>
    <sheet name="amz自动生成表格" sheetId="9" r:id="rId4"/>
    <sheet name="Sheet1" sheetId="11" r:id="rId5"/>
  </sheets>
  <externalReferences>
    <externalReference r:id="rId6"/>
    <externalReference r:id="rId7"/>
    <externalReference r:id="rId8"/>
    <externalReference r:id="rId9"/>
    <externalReference r:id="rId10"/>
    <externalReference r:id="rId11"/>
  </externalReferences>
  <definedNames>
    <definedName name="requiredAttributePTDMap">[1]AttributePTDMAP!$A$1:$BT$59</definedName>
    <definedName name="optionalAttributePTDMap">[1]AttributePTDMAP!$A$60:$BT$506</definedName>
    <definedName name="preferredAttributePTDMap">[1]AttributePTDMAP!$A$507:$BT$537</definedName>
    <definedName name="attributeMapFeedProductType">[1]AttributePTDMAP!$B$1:$BT$1</definedName>
    <definedName name="CONDITION_LIST_0">'[1]Conditions List'!$A$2</definedName>
    <definedName name="CONDITION_LIST_1">'[1]Conditions List'!$B$2:$B$13</definedName>
    <definedName name="CONDITION_LIST_2">'[1]Conditions List'!$C$2</definedName>
    <definedName name="CONDITION_LIST_3">'[1]Conditions List'!$D$2</definedName>
    <definedName name="feed_product_type">'[1]Dropdown Lists'!$A$4:$A$74</definedName>
    <definedName name="AttributePTDMAP">[2]attributePTDMap!$A$1:$L135</definedName>
    <definedName name="dropdown_list_feed_product_type_">'[2]Dropdown Lists'!$C$4:$C$6</definedName>
    <definedName name="shirtrelationship_type">'[5]Dropdown Lists'!$B$4:$B$7</definedName>
    <definedName name="shirtage_range_description">'[5]Dropdown Lists'!$C$4:$C$8</definedName>
    <definedName name="shirtis_autographed">'[5]Dropdown Lists'!$D$4:$D$5</definedName>
    <definedName name="shirtitem_width_unit_of_measure">'[5]Dropdown Lists'!$E$4:$E$9</definedName>
    <definedName name="shirtshirt_size_system">'[5]Dropdown Lists'!$F$4</definedName>
    <definedName name="shirtcalifornia_proposition__chemical_names">'[5]Dropdown Lists'!$G$4:$G$869</definedName>
    <definedName name="shirtcountry_of_origin">'[5]Dropdown Lists'!$H$4:$H$271</definedName>
    <definedName name="shirtlithium_battery_packaging">'[5]Dropdown Lists'!$I$4:$I$6</definedName>
    <definedName name="shirtexternal_product_id_type">'[5]Dropdown Lists'!$J$4:$J$8</definedName>
    <definedName name="shirtvariation_theme">'[5]Dropdown Lists'!$K$4:$K$22</definedName>
    <definedName name="shirttarget_gender">'[5]Dropdown Lists'!$L$4:$L$6</definedName>
    <definedName name="shirtspecial_features">'[5]Dropdown Lists'!$M$4:$M$14</definedName>
    <definedName name="shirtclosure_type">'[5]Dropdown Lists'!$N$4:$N$26</definedName>
    <definedName name="shirtitem_type_name">'[5]Dropdown Lists'!$O$4:$O$32</definedName>
    <definedName name="shirtduration_unit_of_measure">'[5]Dropdown Lists'!$P$4</definedName>
    <definedName name="shirtneck_style">'[5]Dropdown Lists'!$Q$4:$Q$18</definedName>
    <definedName name="shirtcurrency">'[5]Dropdown Lists'!$R$4:$R$11</definedName>
    <definedName name="shirtsupplier_declared_dg_hz_regulation">'[5]Dropdown Lists'!$S$4:$S$10</definedName>
    <definedName name="shirtpesticide_marking_registration_status">'[5]Dropdown Lists'!$T$4:$T$6</definedName>
    <definedName name="shirtsport_type">'[5]Dropdown Lists'!$U$4:$U$84</definedName>
    <definedName name="shirtpesticide_marking_type">'[5]Dropdown Lists'!$V$4:$V$5</definedName>
    <definedName name="shirtregulation_type">'[5]Dropdown Lists'!$W$4:$W$10</definedName>
    <definedName name="shirtbelt_style">'[5]Dropdown Lists'!$X$4:$X$8</definedName>
    <definedName name="shirtbatteries_required">'[5]Dropdown Lists'!$Y$4:$Y$5</definedName>
    <definedName name="shirtshirt_sleeve_length_to">'[5]Dropdown Lists'!$Z$4:$Z$19</definedName>
    <definedName name="shirtbattery_cell_composition">'[5]Dropdown Lists'!$AA$4:$AA$36</definedName>
    <definedName name="shirtneck_size_unit_of_measure">'[5]Dropdown Lists'!$AB$4:$AB$8</definedName>
    <definedName name="shirtpackage_weight_unit_of_measure">'[5]Dropdown Lists'!$AC$4:$AC$8</definedName>
    <definedName name="shirtshirt_neck_size_to">'[5]Dropdown Lists'!$AD$4:$AD$15</definedName>
    <definedName name="shirtupdate_delete">'[5]Dropdown Lists'!$AE$4:$AE$6</definedName>
    <definedName name="shirtcolor_map">'[5]Dropdown Lists'!$AF$4:$AF$27</definedName>
    <definedName name="shirtare_batteries_included">'[5]Dropdown Lists'!$AG$4:$AG$5</definedName>
    <definedName name="shirtlegal_compliance_certification_status">'[5]Dropdown Lists'!$AH$4:$AH$6</definedName>
    <definedName name="shirtsubject_character">'[5]Dropdown Lists'!$AI$4:$AI$465</definedName>
    <definedName name="shirtsize_map">'[5]Dropdown Lists'!$AJ$4:$AJ$16</definedName>
    <definedName name="shirtshirt_height_type">'[5]Dropdown Lists'!$AK$4:$AK$8</definedName>
    <definedName name="shirtchest_size_unit_of_measure">'[5]Dropdown Lists'!$AL$4:$AL$8</definedName>
    <definedName name="shirtpattern_type">'[5]Dropdown Lists'!$AM$4:$AM$11</definedName>
    <definedName name="shirtunderwire_type">'[5]Dropdown Lists'!$AN$4:$AN$5</definedName>
    <definedName name="shirtshirt_size">'[5]Dropdown Lists'!$AO$4:$AO$129</definedName>
    <definedName name="shirtcpsia_cautionary_statement">'[5]Dropdown Lists'!$AP$4:$AP$11</definedName>
    <definedName name="shirtshirt_size_to">'[5]Dropdown Lists'!$AQ$4:$AQ$129</definedName>
    <definedName name="shirtteam_name">'[5]Dropdown Lists'!$AR$4</definedName>
    <definedName name="shirtshirt_body_type">'[5]Dropdown Lists'!$AS$4:$AS$7</definedName>
    <definedName name="shirtwebsite_shipping_weight_unit_of_measure">'[5]Dropdown Lists'!$AT$4:$AT$8</definedName>
    <definedName name="shirtcup_size">'[5]Dropdown Lists'!$AU$4:$AU$18</definedName>
    <definedName name="shirtprogressive_discount_type">'[5]Dropdown Lists'!$AV$4:$AV$5</definedName>
    <definedName name="shirtmaterial_type">'[5]Dropdown Lists'!$AW$4:$AW$21</definedName>
    <definedName name="shirtlithium_battery_weight_unit_of_measure">'[5]Dropdown Lists'!$AX$4:$AX$8</definedName>
    <definedName name="shirtfulfillment_center_id">'[5]Dropdown Lists'!$AY$4:$AY$5</definedName>
    <definedName name="shirtpackage_length_unit_of_measure">'[5]Dropdown Lists'!$AZ$4:$AZ$9</definedName>
    <definedName name="shirtlifestyle">'[5]Dropdown Lists'!$BA$4:$BA$13</definedName>
    <definedName name="shirtfcc_radio_frequency_emission_compliance_registration_status">'[5]Dropdown Lists'!$BB$4:$BB$7</definedName>
    <definedName name="shirtghs_classification_class">'[5]Dropdown Lists'!$BC$4:$BC$13</definedName>
    <definedName name="shirtpackage_height_unit_of_measure">'[5]Dropdown Lists'!$BD$4:$BD$9</definedName>
    <definedName name="shirtoffering_can_be_giftwrapped">'[5]Dropdown Lists'!$BE$4:$BE$5</definedName>
    <definedName name="shirtlithium_battery_energy_content_unit_of_measure">'[5]Dropdown Lists'!$BF$4:$BF$12</definedName>
    <definedName name="shirtbattery_type">'[5]Dropdown Lists'!$BG$4:$BG$25</definedName>
    <definedName name="shirtflash_point_unit_of_measure">'[5]Dropdown Lists'!$BH$4:$BH$6</definedName>
    <definedName name="shirtfit_type">'[5]Dropdown Lists'!$BI$4:$BI$14</definedName>
    <definedName name="shirtimport_designation">'[5]Dropdown Lists'!$BJ$4:$BJ$10</definedName>
    <definedName name="shirtpackage_level">'[5]Dropdown Lists'!$BK$4:$BK$6</definedName>
    <definedName name="shirtcollar_style">'[5]Dropdown Lists'!$BL$4:$BL$15</definedName>
    <definedName name="shirtitem_height_unit_of_measure">'[5]Dropdown Lists'!$BM$4:$BM$9</definedName>
    <definedName name="shirttop_style">'[5]Dropdown Lists'!$BN$4:$BN$12</definedName>
    <definedName name="shirtwater_resistance_level">'[5]Dropdown Lists'!$BO$4:$BO$6</definedName>
    <definedName name="shirtweave_type">'[5]Dropdown Lists'!$BP$4:$BP$5</definedName>
    <definedName name="shirtpocket_description">'[5]Dropdown Lists'!$BQ$4:$BQ$12</definedName>
    <definedName name="shirtsleeve_length_unit_of_measure">'[5]Dropdown Lists'!$BR$4:$BR$8</definedName>
    <definedName name="shirttheme">'[5]Dropdown Lists'!$BS$4:$BS$34</definedName>
    <definedName name="shirtshirt_sleeve_length">'[5]Dropdown Lists'!$BT$4:$BT$20</definedName>
    <definedName name="shirtdepartment_name">'[5]Dropdown Lists'!$BU$4:$BU$12</definedName>
    <definedName name="shirtleague_name">'[5]Dropdown Lists'!$BV$4:$BV$41</definedName>
    <definedName name="shirtcondition_type">'[5]Dropdown Lists'!$BW$4:$BW$14</definedName>
    <definedName name="shirtspecial_size_type">'[5]Dropdown Lists'!$BX$4:$BX$37</definedName>
    <definedName name="shirtshirt_neck_size">'[5]Dropdown Lists'!$BY$4:$BY$28</definedName>
    <definedName name="shirtbattery_weight_unit_of_measure">'[5]Dropdown Lists'!$BZ$4:$BZ$8</definedName>
    <definedName name="shirtmerchant_shipping_group_name">'[5]Dropdown Lists'!$CA$4</definedName>
    <definedName name="shirtis_discontinued_by_manufacturer">'[5]Dropdown Lists'!$CB$4:$CB$5</definedName>
    <definedName name="shirtitem_weight_unit_of_measure">'[5]Dropdown Lists'!$CC$4:$CC$8</definedName>
    <definedName name="shirtsupplier_declared_material_regulation">'[5]Dropdown Lists'!$CD$4:$CD$7</definedName>
    <definedName name="shirtsleeve_type">'[5]Dropdown Lists'!$CE$4:$CE$18</definedName>
    <definedName name="shirtitem_volume_unit_of_measure">'[5]Dropdown Lists'!$CF$4:$CF$21</definedName>
    <definedName name="shirtcontrol_type">'[5]Dropdown Lists'!$CG$4:$CG$9</definedName>
    <definedName name="shirtpricing_action">'[5]Dropdown Lists'!$CH$4:$CH$6</definedName>
    <definedName name="shirtparent_child">'[5]Dropdown Lists'!$CI$4:$CI$7</definedName>
    <definedName name="shirtcountry_as_labeled">'[5]Dropdown Lists'!$CJ$4:$CJ$271</definedName>
    <definedName name="shirtfabric_wash">'[5]Dropdown Lists'!$CK$4:$CK$6</definedName>
    <definedName name="shirtpackage_width_unit_of_measure">'[5]Dropdown Lists'!$CL$4:$CL$9</definedName>
    <definedName name="shirtcalifornia_proposition__compliance_type">'[5]Dropdown Lists'!$CM$4:$CM$14</definedName>
    <definedName name="shirtitem_length_unit_of_measure">'[5]Dropdown Lists'!$CN$4:$CN$9</definedName>
    <definedName name="shirtlifecycle_supply_type">'[5]Dropdown Lists'!$CO$4:$CO$6</definedName>
    <definedName name="shirtquantity_price_type">'[5]Dropdown Lists'!$CP$4:$CP$5</definedName>
    <definedName name="shirtstrap_type">'[5]Dropdown Lists'!$CQ$4:$CQ$25</definedName>
    <definedName name="shirtshirt_size_class">'[5]Dropdown Lists'!$CR$4:$CR$8</definedName>
    <definedName name="shirtproduct_tax_code">'[5]Dropdown Lists'!$CS$4</definedName>
    <definedName name="shirtpattern_name">'[5]Dropdown Lists'!$CT$4:$CT$20</definedName>
    <definedName name="shirtcare_instructions">'[5]Dropdown Lists'!$CU$4:$CU$6</definedName>
    <definedName name="shirtoffering_can_be_gift_messaged">'[5]Dropdown Lists'!$CV$4:$CV$5</definedName>
    <definedName name="shirtstyle_name">'[5]Dropdown Lists'!$CW$4:$CW$15</definedName>
    <definedName name="brand_name">'[5]Dropdown Lists'!$CX$4</definedName>
    <definedName name="merchant_shipping_group_name">'[5]Dropdown Lists'!$CY$4</definedName>
    <definedName name="shirtitem_type">'[5]Dropdown Lists'!$CZ$4</definedName>
    <definedName name="item_sku">#REF!</definedName>
    <definedName name="are_batteries_included">'[6]Dropdown Lists'!#REF!</definedName>
    <definedName name="attributeMapFeedProductType" localSheetId="2">[6]AttributePTDMAP!$B$1:$X$1</definedName>
    <definedName name="batteries_required">'[6]Dropdown Lists'!#REF!</definedName>
    <definedName name="feed_product_type" localSheetId="2">'[6]Dropdown Lists'!#REF!</definedName>
    <definedName name="optionalAttributePTDMap" localSheetId="2">[6]AttributePTDMAP!$A$49:$X$191</definedName>
    <definedName name="preferredAttributePTDMap" localSheetId="2">[6]AttributePTDMAP!$A$192:$X$194</definedName>
    <definedName name="requiredAttributePTDMap" localSheetId="2">[6]AttributePTDMAP!$A$1:$X$48</definedName>
    <definedName name="laonianren">[6]AttributePTDMAP!$A$192:$X$194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<sst xmlns="http://schemas.openxmlformats.org/spreadsheetml/2006/main" count="1332" uniqueCount="1131">
  <si>
    <t>Size</t>
  </si>
  <si>
    <t>Color</t>
  </si>
  <si>
    <t>項目③</t>
  </si>
  <si>
    <t>总数</t>
  </si>
  <si>
    <t>メイン</t>
  </si>
  <si>
    <t>カラー</t>
  </si>
  <si>
    <t>Url1</t>
  </si>
  <si>
    <t>Url2</t>
  </si>
  <si>
    <t>Url3</t>
  </si>
  <si>
    <t>Url4</t>
  </si>
  <si>
    <t>Url5</t>
  </si>
  <si>
    <t>Url6</t>
  </si>
  <si>
    <t>Url7</t>
  </si>
  <si>
    <t>Url8</t>
  </si>
  <si>
    <r>
      <rPr>
        <b/>
        <sz val="16"/>
        <rFont val="宋体"/>
        <charset val="134"/>
      </rPr>
      <t>商品图片</t>
    </r>
    <r>
      <rPr>
        <b/>
        <sz val="16"/>
        <rFont val="MS PMincho"/>
        <charset val="134"/>
      </rPr>
      <t>*</t>
    </r>
  </si>
  <si>
    <t>http://m.qpic.cn/psc?/V51r8tMy2oY6rP1cY0U82vBxqf0QfuKH/bqQfVz5yrrGYSXMvKr.cqeNiqyBUA20Xdqgq*JhR8t.w3IYn6tQIoc0H*.PP1ttTTaeN9xjEdQldNLlulT8RGqhmloAUM9aiU*mYyChSGaw!/b&amp;bo=QAZABkAGQAYBFzA!&amp;rf=viewer_4</t>
  </si>
  <si>
    <t>_0</t>
  </si>
  <si>
    <t>_1</t>
  </si>
  <si>
    <t>_2</t>
  </si>
  <si>
    <t>_3</t>
  </si>
  <si>
    <t>_4</t>
  </si>
  <si>
    <t>_5</t>
  </si>
  <si>
    <t>_6</t>
  </si>
  <si>
    <t>_7</t>
  </si>
  <si>
    <t>_8</t>
  </si>
  <si>
    <t>http://m.qpic.cn/psc?/V50EJGsl1uIkSE1hk7qh4B5hbw1pcDzP/TmEUgtj9EK6.7V8ajmQrEOovUy7Nklm4ADJ*1A6bXM9Ps8GGT93nj.l8Bz.HoXAN91KxV2yr4x6AQJdHOquLm1yX2NhZZPYJFfthQn.qjT8!/b&amp;bo=QAZABkAGQAYBJwA!&amp;rf=viewer_4</t>
  </si>
  <si>
    <t>http://m.qpic.cn/psc?/V50EJGsl1uIkSE1hk7qh4B5hbw1pcDzP/TmEUgtj9EK6.7V8ajmQrEOovUy7Nklm4ADJ*1A6bXM9vAQlkJZt3KbnEAMuAVGRXbuhYHSfZoPQ1L*9SPpVG3WaN5WOp260e20z*lHFx7D8!/b&amp;bo=QAZABkAGQAYBFzA!&amp;rf=viewer_4</t>
  </si>
  <si>
    <t>http://m.qpic.cn/psc?/V50EJGsl1uIkSE1hk7qh4B5hbw1pcDzP/TmEUgtj9EK6.7V8ajmQrEDKikFbkkozfjrtZiFA2H09fGPTLFaFRjqsirDSUn7gRUa0JZySO9V04bH3mXqhlF7X5g1HKYLZ9SiPV2JmN*To!/b&amp;bo=QAZABkAGQAYBByA!&amp;rf=viewer_4</t>
  </si>
  <si>
    <t>http://m.qpic.cn/psc?/V50EJGsl1uIkSE1hk7qh4B5hbw1pcDzP/TmEUgtj9EK6.7V8ajmQrEDKikFbkkozfjrtZiFA2H0.6Uhp1CJgEud4M19wB9UTXFPC8SWx.87IazvjUPKpHS8uhVMQz8WH1bXXkOQ9ellk!/b&amp;bo=QAZABkAGQAYBFzA!&amp;rf=viewer_4</t>
  </si>
  <si>
    <t>http://m.qpic.cn/psc?/V50EJGsl1uIkSE1hk7qh4B5hbw1pcDzP/TmEUgtj9EK6.7V8ajmQrEDKikFbkkozfjrtZiFA2H0*nCVP.TqLwdsolddhbyUkF0PhqJ*XYfBrbHwgVOblC3XPOOUsyaBEdVBfOMNpx2DI!/b&amp;bo=QAZABkAGQAYBJwA!&amp;rf=viewer_4</t>
  </si>
  <si>
    <t>http://m.qpic.cn/psc?/V50EJGsl1uIkSE1hk7qh4B5hbw1pcDzP/TmEUgtj9EK6.7V8ajmQrEDKikFbkkozfjrtZiFA2H080WOSvAxj2ht5WpVN4Fie67uUI8PWfZu9MX2ii1QGrwZokXjQG6CaGQCyaNUf*GoE!/b&amp;bo=QAZABkAGQAYBFzA!&amp;rf=viewer_4</t>
  </si>
  <si>
    <t>http://m.qpic.cn/psc?/V50EJGsl1uIkSE1hk7qh4B5hbw1pcDzP/TmEUgtj9EK6.7V8ajmQrEBRAZRvjMGWHygmV.vC4tNTqrFH5VKNWbq0r205ZiWe6iZ7jdzY.REzlPyxF.Pt2YhUROcrqlwTfLWqkacDVUgE!/b&amp;bo=QAZABkAGQAYBFzA!&amp;rf=viewer_4</t>
  </si>
  <si>
    <t>http://m.qpic.cn/psc?/V50EJGsl1uIkSE1hk7qh4B5hbw1pcDzP/TmEUgtj9EK6.7V8ajmQrEBRAZRvjMGWHygmV.vC4tNRtPByXsSHURA623Z0zZyhPe4CcUcyErkYCvWQrsNaB.FSfcfxh889QcaY8*9PDk7c!/b&amp;bo=QAZABkAGQAYBByA!&amp;rf=viewer_4</t>
  </si>
  <si>
    <t>http://m.qpic.cn/psc?/V50EJGsl1uIkSE1hk7qh4B5hbw1pcDzP/TmEUgtj9EK6.7V8ajmQrEBRAZRvjMGWHygmV.vC4tNRRYDddFb2*yOc7soIZDw9uGBb*gP6Um*5ghTkHnuYuj5*b7C*nGdoQuMFGq8.3I2E!/b&amp;bo=QAZABkAGQAYBFzA!&amp;rf=viewer_4</t>
  </si>
  <si>
    <t>http://m.qpic.cn/psc?/V50EJGsl1uIkSE1hk7qh4B5hbw1pcDzP/TmEUgtj9EK6.7V8ajmQrEOovUy7Nklm4ADJ*1A6bXM.stRtTahTImQKeeeBSYyPL1tht9tnGJ2eRnuMftt.mQk1JwEln.vamrj.wTVrMN7Y!/b&amp;bo=QAZABkAGQAYBByA!&amp;rf=viewer_4</t>
  </si>
  <si>
    <t>http://m.qpic.cn/psc?/V50EJGsl1uIkSE1hk7qh4B5hbw1pcDzP/TmEUgtj9EK6.7V8ajmQrEOovUy7Nklm4ADJ*1A6bXM8jwx8PaxLnMB*0DAew96F69M7UQHHLmJX5lvseRyC23qG16.8iBLPcFj3QwETfiuw!/b&amp;bo=QAZABkAGQAYBFzA!&amp;rf=viewer_4</t>
  </si>
  <si>
    <t>店铺名称</t>
  </si>
  <si>
    <t>VH051-</t>
  </si>
  <si>
    <t>SKU</t>
  </si>
  <si>
    <t>商品标题</t>
  </si>
  <si>
    <t>商品售价（美元）</t>
  </si>
  <si>
    <t>适用性别</t>
  </si>
  <si>
    <t>Unisex</t>
  </si>
  <si>
    <t>员工号</t>
  </si>
  <si>
    <t>商品副标题</t>
  </si>
  <si>
    <t>ikTok changed my life for the better tshirt</t>
  </si>
  <si>
    <t>商品原价（美元）</t>
  </si>
  <si>
    <t>年龄范围</t>
  </si>
  <si>
    <t>Adult</t>
  </si>
  <si>
    <t>类目</t>
  </si>
  <si>
    <t>品牌</t>
  </si>
  <si>
    <t>Vasarhely</t>
  </si>
  <si>
    <r>
      <rPr>
        <sz val="12"/>
        <rFont val="宋体"/>
        <charset val="134"/>
      </rPr>
      <t>类</t>
    </r>
    <r>
      <rPr>
        <sz val="12"/>
        <rFont val="MS PMincho"/>
        <charset val="134"/>
      </rPr>
      <t>目</t>
    </r>
  </si>
  <si>
    <t>Ski</t>
  </si>
  <si>
    <t>是否鞋类</t>
  </si>
  <si>
    <t>否</t>
  </si>
  <si>
    <t>成本价（美元）</t>
  </si>
  <si>
    <t>商品SKU</t>
  </si>
  <si>
    <t>項目分類</t>
  </si>
  <si>
    <t>商品名複製用</t>
  </si>
  <si>
    <t>颜色</t>
  </si>
  <si>
    <t>尺码</t>
  </si>
  <si>
    <t>SEO</t>
  </si>
  <si>
    <r>
      <rPr>
        <sz val="12"/>
        <rFont val="MS Gothic"/>
        <charset val="134"/>
      </rPr>
      <t>尺</t>
    </r>
    <r>
      <rPr>
        <sz val="12"/>
        <rFont val="宋体"/>
        <charset val="134"/>
      </rPr>
      <t>码</t>
    </r>
  </si>
  <si>
    <r>
      <rPr>
        <sz val="12"/>
        <rFont val="宋体"/>
        <charset val="134"/>
      </rPr>
      <t>颜</t>
    </r>
    <r>
      <rPr>
        <sz val="12"/>
        <rFont val="MS Gothic"/>
        <charset val="134"/>
      </rPr>
      <t>色</t>
    </r>
  </si>
  <si>
    <t>総数</t>
  </si>
  <si>
    <t>Parent商品</t>
  </si>
  <si>
    <r>
      <rPr>
        <sz val="11"/>
        <rFont val="MS PMincho"/>
        <charset val="134"/>
      </rPr>
      <t>SEO</t>
    </r>
    <r>
      <rPr>
        <sz val="11"/>
        <rFont val="宋体"/>
        <charset val="134"/>
      </rPr>
      <t>标题</t>
    </r>
  </si>
  <si>
    <t>Stop a TikTok shutdown  TikTok changed my life for the better tshirt</t>
  </si>
  <si>
    <r>
      <rPr>
        <sz val="10"/>
        <rFont val="MS PMincho"/>
        <charset val="134"/>
      </rPr>
      <t>SEO</t>
    </r>
    <r>
      <rPr>
        <sz val="10"/>
        <rFont val="宋体"/>
        <charset val="134"/>
      </rPr>
      <t>描述</t>
    </r>
  </si>
  <si>
    <t>Congress is planning a total ban of TikTok. Speak up now-before your  government strips 170 million America</t>
  </si>
  <si>
    <r>
      <rPr>
        <sz val="10"/>
        <rFont val="MS PMincho"/>
        <charset val="134"/>
      </rPr>
      <t>SEO</t>
    </r>
    <r>
      <rPr>
        <sz val="10"/>
        <rFont val="宋体"/>
        <charset val="134"/>
      </rPr>
      <t>关键词</t>
    </r>
  </si>
  <si>
    <t>Keep Tiktok Stop a TikTok shutdown tshirt shirt tee graphic novelty print printed cotton apparel clothing top men man women woman Pink Blue Grey Grey Green Black Grey Brown Purple Red Green Blue Red Blue</t>
  </si>
  <si>
    <t>SEO URL Handle</t>
  </si>
  <si>
    <t>商品标签</t>
  </si>
  <si>
    <t>Keep Tiktok Stop a TikTok shutdown, flag, take America back, men, women, Stop a TikTok shutdown,T-Shirt,Tshirt</t>
  </si>
  <si>
    <t>商品描述</t>
  </si>
  <si>
    <r>
      <rPr>
        <sz val="12"/>
        <rFont val="宋体"/>
        <charset val="134"/>
      </rPr>
      <t>&lt;h3&gt;&lt;strong&gt;商品詳細説明&lt;/strong&gt;&lt;/h3&gt;
&lt;p&gt;このレディースビジネスシャツは、竹繊維（30%</t>
    </r>
    <r>
      <rPr>
        <sz val="12"/>
        <rFont val="Arial Unicode MS"/>
        <charset val="134"/>
      </rPr>
      <t>〜</t>
    </r>
    <r>
      <rPr>
        <sz val="12"/>
        <rFont val="宋体"/>
        <charset val="134"/>
      </rPr>
      <t>50%未満）とポリエステル（50%</t>
    </r>
    <r>
      <rPr>
        <sz val="12"/>
        <rFont val="Arial Unicode MS"/>
        <charset val="134"/>
      </rPr>
      <t>〜</t>
    </r>
    <r>
      <rPr>
        <sz val="12"/>
        <rFont val="宋体"/>
        <charset val="134"/>
      </rPr>
      <t>70%未満）のハイブリッド素材を使用し、通気性、速乾性、肌触りの良さを兼ね備えた一枚です。免烫</t>
    </r>
    <r>
      <rPr>
        <sz val="12"/>
        <rFont val="MS Gothic"/>
        <charset val="134"/>
      </rPr>
      <t>・</t>
    </r>
    <r>
      <rPr>
        <sz val="12"/>
        <rFont val="宋体"/>
        <charset val="134"/>
      </rPr>
      <t>抗皺加工が施されているため、忙しい毎日でもアイロン要らずで、きれいなシルエットをキープできます。&lt;/p&gt;
&lt;p&gt;また、竹繊維特有の吸湿速乾機能により、汗をかいても素早く吸収</t>
    </r>
    <r>
      <rPr>
        <sz val="12"/>
        <rFont val="MS Gothic"/>
        <charset val="134"/>
      </rPr>
      <t>・</t>
    </r>
    <r>
      <rPr>
        <sz val="12"/>
        <rFont val="宋体"/>
        <charset val="134"/>
      </rPr>
      <t>発散し、春夏シーズンでも爽やかな着心地を提供。シンプルなホワイトデザインは、オフィスやフォーマルな場面だけでなく、カジュアルコーデにも取り入れやすく、幅広いシーンで活躍します。&lt;/p&gt;
&lt;p&gt;S</t>
    </r>
    <r>
      <rPr>
        <sz val="12"/>
        <rFont val="MS Gothic"/>
        <charset val="134"/>
      </rPr>
      <t>・</t>
    </r>
    <r>
      <rPr>
        <sz val="12"/>
        <rFont val="宋体"/>
        <charset val="134"/>
      </rPr>
      <t>M</t>
    </r>
    <r>
      <rPr>
        <sz val="12"/>
        <rFont val="MS Gothic"/>
        <charset val="134"/>
      </rPr>
      <t>・</t>
    </r>
    <r>
      <rPr>
        <sz val="12"/>
        <rFont val="宋体"/>
        <charset val="134"/>
      </rPr>
      <t>L</t>
    </r>
    <r>
      <rPr>
        <sz val="12"/>
        <rFont val="MS Gothic"/>
        <charset val="134"/>
      </rPr>
      <t>・</t>
    </r>
    <r>
      <rPr>
        <sz val="12"/>
        <rFont val="宋体"/>
        <charset val="134"/>
      </rPr>
      <t>XLの4サイズ展開で、体型やスタイルに合わせて選べるのもポイント。日常使いはもちろん、仕事用や出張時、会議などのビジネスシーンにもぴったりのシャツです。&lt;/p&gt;
&lt;p&gt;【仕様】&lt;/p&gt;
&lt;ul&gt;
    &lt;li&gt;素材：竹繊維 30%</t>
    </r>
    <r>
      <rPr>
        <sz val="12"/>
        <rFont val="Arial Unicode MS"/>
        <charset val="134"/>
      </rPr>
      <t>〜</t>
    </r>
    <r>
      <rPr>
        <sz val="12"/>
        <rFont val="宋体"/>
        <charset val="134"/>
      </rPr>
      <t>50%未満、ポリエステル 50%</t>
    </r>
    <r>
      <rPr>
        <sz val="12"/>
        <rFont val="Arial Unicode MS"/>
        <charset val="134"/>
      </rPr>
      <t>〜</t>
    </r>
    <r>
      <rPr>
        <sz val="12"/>
        <rFont val="宋体"/>
        <charset val="134"/>
      </rPr>
      <t>70%未満&lt;/li&gt;
    &lt;li&gt;カラー：ホワイト&lt;/li&gt;
    &lt;li&gt;サイズ展開：S / M / L / XL&lt;/li&gt;
    &lt;li&gt;シーズン：春</t>
    </r>
    <r>
      <rPr>
        <sz val="12"/>
        <rFont val="MS Gothic"/>
        <charset val="134"/>
      </rPr>
      <t>・</t>
    </r>
    <r>
      <rPr>
        <sz val="12"/>
        <rFont val="宋体"/>
        <charset val="134"/>
      </rPr>
      <t>夏&lt;/li&gt;
    &lt;li&gt;スタイル：ビジネス、オフィスカジュアル、通勤、フォーマル&lt;/li&gt;
&lt;/ul&gt;
&lt;p&gt;【おすすめポイント】&lt;br&gt;✔️ 免烫</t>
    </r>
    <r>
      <rPr>
        <sz val="12"/>
        <rFont val="MS Gothic"/>
        <charset val="134"/>
      </rPr>
      <t>・</t>
    </r>
    <r>
      <rPr>
        <sz val="12"/>
        <rFont val="宋体"/>
        <charset val="134"/>
      </rPr>
      <t>抗皺加工でアイロン不要！&lt;br&gt;✔️ 通気性</t>
    </r>
    <r>
      <rPr>
        <sz val="12"/>
        <rFont val="MS Gothic"/>
        <charset val="134"/>
      </rPr>
      <t>・</t>
    </r>
    <r>
      <rPr>
        <sz val="12"/>
        <rFont val="宋体"/>
        <charset val="134"/>
      </rPr>
      <t>吸湿速乾機能で蒸れにくく快適！&lt;br&gt;✔️ シンプルで洗練されたデザイン、あらゆるシーンで活躍！&lt;br&gt;✔️ 豊富なサイズ展開で自分にぴったりのフィット感！&lt;/p&gt;</t>
    </r>
  </si>
  <si>
    <t>参数表</t>
  </si>
  <si>
    <t>商品重量</t>
  </si>
  <si>
    <t>商品库存</t>
  </si>
  <si>
    <t>供应商名称</t>
  </si>
  <si>
    <t>XMLeKe</t>
  </si>
  <si>
    <t>供应商链接</t>
  </si>
  <si>
    <t>https://detail.1688.com/offer/695456185594.html?spm=a261y.7663282.module-desc.10.7a7e1b09WZk867</t>
  </si>
  <si>
    <t>专辑名称</t>
  </si>
  <si>
    <t>HotTopicTshirts</t>
  </si>
  <si>
    <t>虚拟销量</t>
  </si>
  <si>
    <t>variation_theme</t>
  </si>
  <si>
    <t>color-size</t>
  </si>
  <si>
    <r>
      <rPr>
        <b/>
        <sz val="20"/>
        <rFont val="宋体"/>
        <charset val="134"/>
      </rPr>
      <t>材料</t>
    </r>
    <r>
      <rPr>
        <b/>
        <sz val="20"/>
        <rFont val="MS PMincho"/>
        <charset val="134"/>
      </rPr>
      <t>fabric_type</t>
    </r>
  </si>
  <si>
    <t>90% Cotton, 10% Polyester</t>
  </si>
  <si>
    <t>五点描述</t>
  </si>
  <si>
    <t>bullet_point1</t>
  </si>
  <si>
    <r>
      <rPr>
        <sz val="12"/>
        <rFont val="宋体"/>
        <charset val="134"/>
      </rPr>
      <t xml:space="preserve"> </t>
    </r>
    <r>
      <rPr>
        <b/>
        <sz val="12"/>
        <rFont val="宋体"/>
        <charset val="134"/>
      </rPr>
      <t>【竹繊維×ポリエステルの高機能素材】</t>
    </r>
    <r>
      <rPr>
        <sz val="12"/>
        <rFont val="宋体"/>
        <charset val="134"/>
      </rPr>
      <t>天然の竹繊維（30%</t>
    </r>
    <r>
      <rPr>
        <sz val="12"/>
        <rFont val="Arial Unicode MS"/>
        <charset val="134"/>
      </rPr>
      <t>〜</t>
    </r>
    <r>
      <rPr>
        <sz val="12"/>
        <rFont val="宋体"/>
        <charset val="134"/>
      </rPr>
      <t>50%未満）とポリエステル（50%</t>
    </r>
    <r>
      <rPr>
        <sz val="12"/>
        <rFont val="Arial Unicode MS"/>
        <charset val="134"/>
      </rPr>
      <t>〜</t>
    </r>
    <r>
      <rPr>
        <sz val="12"/>
        <rFont val="宋体"/>
        <charset val="134"/>
      </rPr>
      <t>70%未満）の組み合わせにより、通気性</t>
    </r>
    <r>
      <rPr>
        <sz val="12"/>
        <rFont val="MS Gothic"/>
        <charset val="134"/>
      </rPr>
      <t>・</t>
    </r>
    <r>
      <rPr>
        <sz val="12"/>
        <rFont val="宋体"/>
        <charset val="134"/>
      </rPr>
      <t>吸湿性</t>
    </r>
    <r>
      <rPr>
        <sz val="12"/>
        <rFont val="MS Gothic"/>
        <charset val="134"/>
      </rPr>
      <t>・</t>
    </r>
    <r>
      <rPr>
        <sz val="12"/>
        <rFont val="宋体"/>
        <charset val="134"/>
      </rPr>
      <t>速乾性を実現。長時間着ても快適で、肌触りも柔らか。デスクワークや通勤時にも爽やかな着心地を提供します。春夏は通気性が良くさらっと快適、秋冬はインナーとしても暖かく着られる万能アイテム。1年中活躍する通勤＆フォーマルシャツです。</t>
    </r>
  </si>
  <si>
    <t>bullet_point2</t>
  </si>
  <si>
    <r>
      <rPr>
        <b/>
        <sz val="12"/>
        <rFont val="宋体"/>
        <charset val="134"/>
      </rPr>
      <t>【免烫＆抗皺加工でお手入れ簡単】</t>
    </r>
    <r>
      <rPr>
        <sz val="12"/>
        <rFont val="宋体"/>
        <charset val="134"/>
      </rPr>
      <t>アイロン不要の免烫加工を施し、シワになりにくい仕様。忙しい朝でもサッと着用でき、仕事や会議でも常に清潔感のある印象を保てます。オフィスワークや出張にも最適です。</t>
    </r>
  </si>
  <si>
    <t>bullet_point3</t>
  </si>
  <si>
    <r>
      <rPr>
        <b/>
        <sz val="12"/>
        <rFont val="宋体"/>
        <charset val="134"/>
      </rPr>
      <t>【吸湿速乾＆通気性抜群で快適】</t>
    </r>
    <r>
      <rPr>
        <sz val="12"/>
        <rFont val="宋体"/>
        <charset val="134"/>
      </rPr>
      <t>竹繊維特有の吸湿速乾機能が汗を素早く吸収</t>
    </r>
    <r>
      <rPr>
        <sz val="12"/>
        <rFont val="MS Gothic"/>
        <charset val="134"/>
      </rPr>
      <t>・</t>
    </r>
    <r>
      <rPr>
        <sz val="12"/>
        <rFont val="宋体"/>
        <charset val="134"/>
      </rPr>
      <t>発散し、長時間の着用でも快適。通気性に優れ、春夏の暑い季節でもサラリとした着心地を実現。蒸し暑い日や電車通勤時もベタつきを抑えます。</t>
    </r>
  </si>
  <si>
    <t>bullet_point4</t>
  </si>
  <si>
    <r>
      <rPr>
        <b/>
        <sz val="12"/>
        <rFont val="宋体"/>
        <charset val="134"/>
      </rPr>
      <t>【シンプル＆上品なデザイン、4色展開】</t>
    </r>
    <r>
      <rPr>
        <sz val="12"/>
        <rFont val="宋体"/>
        <charset val="134"/>
      </rPr>
      <t>ベーシックで洗練されたデザインのホワイト、ブラック、グレー、天ブルーの4色展開。シーンに合わせて選べるカラーバリエーションで、オフィス</t>
    </r>
    <r>
      <rPr>
        <sz val="12"/>
        <rFont val="MS Gothic"/>
        <charset val="134"/>
      </rPr>
      <t>・</t>
    </r>
    <r>
      <rPr>
        <sz val="12"/>
        <rFont val="宋体"/>
        <charset val="134"/>
      </rPr>
      <t>カジュアル</t>
    </r>
    <r>
      <rPr>
        <sz val="12"/>
        <rFont val="MS Gothic"/>
        <charset val="134"/>
      </rPr>
      <t>・</t>
    </r>
    <r>
      <rPr>
        <sz val="12"/>
        <rFont val="宋体"/>
        <charset val="134"/>
      </rPr>
      <t>フォーマルなど幅広く活躍。スーツのインナーとしても相性抜群！</t>
    </r>
  </si>
  <si>
    <t>bullet_point5</t>
  </si>
  <si>
    <r>
      <rPr>
        <b/>
        <sz val="12"/>
        <rFont val="MS Gothic"/>
        <charset val="134"/>
      </rPr>
      <t>【豊富なサイズ展開＆体型に合わせたフィット感】</t>
    </r>
    <r>
      <rPr>
        <sz val="12"/>
        <rFont val="MS Gothic"/>
        <charset val="134"/>
      </rPr>
      <t>S〜5XLまでの豊富なサイズ展開で、幅広い体型に対応。ゆったり着たい方も、タイトに着こなしたい方も、自分にぴったりのサイズが見つかる。通勤、ビジネス、リモートワーク、フォーマルシーンで活躍する万能アイテム！</t>
    </r>
  </si>
  <si>
    <t>generic_keywords
关键词</t>
  </si>
  <si>
    <t>シャツ レディース 長袖 白シャツ 竹繊維 オフィス 通勤 ビジネスシャツ フォーマルシャツ 吸湿 速乾 免烫 抗皺 春 夏 秋 冬 オールシーズン対応 オシャレ シンプル 仕事用 トップス ブラック グレー 天ブルー 大きいサイズ</t>
  </si>
  <si>
    <t>Black</t>
  </si>
  <si>
    <t>Blue</t>
  </si>
  <si>
    <t>white</t>
  </si>
  <si>
    <t>Army Green</t>
  </si>
  <si>
    <t>LightGrey</t>
  </si>
  <si>
    <t>ColorMap</t>
  </si>
  <si>
    <t>カラー2</t>
  </si>
  <si>
    <t>编码</t>
  </si>
  <si>
    <t>黑色</t>
  </si>
  <si>
    <t>ブラック</t>
  </si>
  <si>
    <t>01</t>
  </si>
  <si>
    <t>红色</t>
  </si>
  <si>
    <t>レッド</t>
  </si>
  <si>
    <t>Red</t>
  </si>
  <si>
    <t>02</t>
  </si>
  <si>
    <t>蓝色</t>
  </si>
  <si>
    <t>ブルー</t>
  </si>
  <si>
    <t>03</t>
  </si>
  <si>
    <t>黄色</t>
  </si>
  <si>
    <t>イエロー</t>
  </si>
  <si>
    <t>Yellow</t>
  </si>
  <si>
    <t>04</t>
  </si>
  <si>
    <t>灰色</t>
  </si>
  <si>
    <t>グレー</t>
  </si>
  <si>
    <t>Gray</t>
  </si>
  <si>
    <t>05</t>
  </si>
  <si>
    <t>绿色</t>
  </si>
  <si>
    <t>グリーン</t>
  </si>
  <si>
    <t>Green</t>
  </si>
  <si>
    <t>06</t>
  </si>
  <si>
    <t>粉红色</t>
  </si>
  <si>
    <t>ピンク</t>
  </si>
  <si>
    <t>Pink</t>
  </si>
  <si>
    <t>07</t>
  </si>
  <si>
    <t>咖啡色</t>
  </si>
  <si>
    <t>コーヒー</t>
  </si>
  <si>
    <t>Coffee</t>
  </si>
  <si>
    <t>08</t>
  </si>
  <si>
    <t>浅蓝色</t>
  </si>
  <si>
    <t>ライトブルー</t>
  </si>
  <si>
    <t>LightBlue</t>
  </si>
  <si>
    <t>09</t>
  </si>
  <si>
    <t>酒红</t>
  </si>
  <si>
    <t>ワイン</t>
  </si>
  <si>
    <t>Wine</t>
  </si>
  <si>
    <t>10</t>
  </si>
  <si>
    <t>棕色</t>
  </si>
  <si>
    <t>ブラウン</t>
  </si>
  <si>
    <t>Brown</t>
  </si>
  <si>
    <t>11</t>
  </si>
  <si>
    <t>杏色（米白）</t>
  </si>
  <si>
    <t>ベージュ</t>
  </si>
  <si>
    <t>Beige</t>
  </si>
  <si>
    <t>12</t>
  </si>
  <si>
    <t>黑白</t>
  </si>
  <si>
    <t>白黒</t>
  </si>
  <si>
    <t>BlackWhite</t>
  </si>
  <si>
    <t>13</t>
  </si>
  <si>
    <t>白色</t>
  </si>
  <si>
    <t>ホワイト</t>
  </si>
  <si>
    <t>White</t>
  </si>
  <si>
    <t>14</t>
  </si>
  <si>
    <t>深蓝色</t>
  </si>
  <si>
    <t>紺</t>
  </si>
  <si>
    <t>NavyBlue</t>
  </si>
  <si>
    <t>15</t>
  </si>
  <si>
    <t>海军绿</t>
  </si>
  <si>
    <t>グラスグリ一ン</t>
  </si>
  <si>
    <t>ArmyGreen</t>
  </si>
  <si>
    <t>16</t>
  </si>
  <si>
    <t>藏青色（海军蓝）</t>
  </si>
  <si>
    <t>ネイビー</t>
  </si>
  <si>
    <t>Navy</t>
  </si>
  <si>
    <t>17</t>
  </si>
  <si>
    <t>深灰色</t>
  </si>
  <si>
    <t>ダークグレー</t>
  </si>
  <si>
    <t>DarkGray</t>
  </si>
  <si>
    <t>18</t>
  </si>
  <si>
    <t>迷彩蓝</t>
  </si>
  <si>
    <t>迷彩ブルー</t>
  </si>
  <si>
    <t>CamoBL</t>
  </si>
  <si>
    <t>19</t>
  </si>
  <si>
    <t>迷彩绿</t>
  </si>
  <si>
    <t>迷彩グリーン</t>
  </si>
  <si>
    <t>CamoGreen</t>
  </si>
  <si>
    <t>20</t>
  </si>
  <si>
    <t>卡其色</t>
  </si>
  <si>
    <t>カーキ</t>
  </si>
  <si>
    <t>Khaki</t>
  </si>
  <si>
    <t>21</t>
  </si>
  <si>
    <t>铁灰色</t>
  </si>
  <si>
    <t>鉄グレー</t>
  </si>
  <si>
    <t>IronGray</t>
  </si>
  <si>
    <t>22</t>
  </si>
  <si>
    <t>深咖啡色</t>
  </si>
  <si>
    <t>ダークコーヒー</t>
  </si>
  <si>
    <t>Dark coffee</t>
  </si>
  <si>
    <t>23</t>
  </si>
  <si>
    <t>军绿色</t>
  </si>
  <si>
    <t>アーミーグリーン</t>
  </si>
  <si>
    <t>Armygreen</t>
  </si>
  <si>
    <t>24</t>
  </si>
  <si>
    <t>紫色</t>
  </si>
  <si>
    <t>パープル</t>
  </si>
  <si>
    <t>purple</t>
  </si>
  <si>
    <t>25</t>
  </si>
  <si>
    <t>桔黄</t>
  </si>
  <si>
    <t>オレンジ</t>
  </si>
  <si>
    <t>Orange</t>
  </si>
  <si>
    <t>26</t>
  </si>
  <si>
    <t>深棕色</t>
  </si>
  <si>
    <t>ダークブラウン</t>
  </si>
  <si>
    <t>DarkBrown</t>
  </si>
  <si>
    <t>27</t>
  </si>
  <si>
    <t>浅棕色</t>
  </si>
  <si>
    <t>ライトブラウン</t>
  </si>
  <si>
    <t>lightBrown</t>
  </si>
  <si>
    <t>28</t>
  </si>
  <si>
    <t>玫红色</t>
  </si>
  <si>
    <t>ローズ</t>
  </si>
  <si>
    <t>Rose</t>
  </si>
  <si>
    <t>29</t>
  </si>
  <si>
    <t>驼色</t>
  </si>
  <si>
    <t>キャメル</t>
  </si>
  <si>
    <t>Camel</t>
  </si>
  <si>
    <t>30</t>
  </si>
  <si>
    <t>粉色拼天蓝</t>
  </si>
  <si>
    <t>ピンクライトブルー</t>
  </si>
  <si>
    <t>PinkBlue</t>
  </si>
  <si>
    <t>31</t>
  </si>
  <si>
    <t>墨绿拼果绿</t>
  </si>
  <si>
    <t>ダークグフルーツグリーン</t>
  </si>
  <si>
    <t>DkOnFrtGreen</t>
  </si>
  <si>
    <t>32</t>
  </si>
  <si>
    <t>蓝条</t>
  </si>
  <si>
    <t>ブルーストライプ</t>
  </si>
  <si>
    <t>BlueStripe</t>
  </si>
  <si>
    <t xml:space="preserve">ブルーストライプ </t>
  </si>
  <si>
    <t>33</t>
  </si>
  <si>
    <t>红条</t>
  </si>
  <si>
    <t>レッドストライプ</t>
  </si>
  <si>
    <t>RedStripe</t>
  </si>
  <si>
    <t>レッド ストライプ</t>
  </si>
  <si>
    <t>34</t>
  </si>
  <si>
    <t>黑白点</t>
  </si>
  <si>
    <t>黒白ドット</t>
  </si>
  <si>
    <t>BlackWhiteDot</t>
  </si>
  <si>
    <t>35</t>
  </si>
  <si>
    <t>黑条</t>
  </si>
  <si>
    <t>ブラックストライプ</t>
  </si>
  <si>
    <t>BlackStripe</t>
  </si>
  <si>
    <t>ブラック ストライプ</t>
  </si>
  <si>
    <t>36</t>
  </si>
  <si>
    <t>芥末色</t>
  </si>
  <si>
    <t>マスタード</t>
  </si>
  <si>
    <t>mustard</t>
  </si>
  <si>
    <t>37</t>
  </si>
  <si>
    <t>黑色2</t>
  </si>
  <si>
    <t>ブラック2</t>
  </si>
  <si>
    <t>Black2</t>
  </si>
  <si>
    <t>38</t>
  </si>
  <si>
    <t>荧光绿</t>
  </si>
  <si>
    <t>水色</t>
  </si>
  <si>
    <t>39</t>
  </si>
  <si>
    <t>ダークブルー</t>
  </si>
  <si>
    <t>DarkBlue</t>
  </si>
  <si>
    <t>40</t>
  </si>
  <si>
    <t>杏色</t>
  </si>
  <si>
    <t>アプリコット</t>
  </si>
  <si>
    <t>Apricot</t>
  </si>
  <si>
    <t>41</t>
  </si>
  <si>
    <t>浅绿</t>
  </si>
  <si>
    <t>ライトグリーン</t>
  </si>
  <si>
    <t>LightGreen</t>
  </si>
  <si>
    <t>42</t>
  </si>
  <si>
    <t>印花色</t>
  </si>
  <si>
    <t>総柄</t>
  </si>
  <si>
    <t>Printing</t>
  </si>
  <si>
    <t>43</t>
  </si>
  <si>
    <t>ブラック(四季通用)</t>
  </si>
  <si>
    <t>BlackAllSeasons</t>
  </si>
  <si>
    <t>44</t>
  </si>
  <si>
    <t>ブルー(薄手夏用)</t>
  </si>
  <si>
    <t>BlueThin</t>
  </si>
  <si>
    <t>45</t>
  </si>
  <si>
    <t>ライトブルー(薄手夏用)</t>
  </si>
  <si>
    <t>LightBlueThin</t>
  </si>
  <si>
    <t>46</t>
  </si>
  <si>
    <t>ブルー(四季通用)</t>
  </si>
  <si>
    <t>BlueAllSeasons</t>
  </si>
  <si>
    <t>47</t>
  </si>
  <si>
    <t>バットマンブラック</t>
  </si>
  <si>
    <t>BatmanBlack</t>
  </si>
  <si>
    <t>48</t>
  </si>
  <si>
    <t>バットマンホワイト</t>
  </si>
  <si>
    <t>BatmanWhite</t>
  </si>
  <si>
    <t>49</t>
  </si>
  <si>
    <t>バットマンレッド</t>
  </si>
  <si>
    <t>BatmanRed</t>
  </si>
  <si>
    <t>50</t>
  </si>
  <si>
    <t>長袖パープル</t>
  </si>
  <si>
    <t>LoSlvPurple</t>
  </si>
  <si>
    <t>51</t>
  </si>
  <si>
    <t>長袖ブルー</t>
  </si>
  <si>
    <t>LoSlvBlue</t>
  </si>
  <si>
    <t>52</t>
  </si>
  <si>
    <t>白色（网孔）</t>
  </si>
  <si>
    <t>ホワイト（メッシュ）</t>
  </si>
  <si>
    <t>WhiteMesh</t>
  </si>
  <si>
    <t>53</t>
  </si>
  <si>
    <t>银</t>
  </si>
  <si>
    <t>シルバー</t>
  </si>
  <si>
    <t>Silver</t>
  </si>
  <si>
    <t>54</t>
  </si>
  <si>
    <t>柔软的米色</t>
  </si>
  <si>
    <t>ソフトベージュ</t>
  </si>
  <si>
    <t>SoftBeige</t>
  </si>
  <si>
    <t>55</t>
  </si>
  <si>
    <t>绿松石</t>
  </si>
  <si>
    <t>ターコイズ</t>
  </si>
  <si>
    <t>Turquoise</t>
  </si>
  <si>
    <t>56</t>
  </si>
  <si>
    <t>玫瑰</t>
  </si>
  <si>
    <t>バラ</t>
  </si>
  <si>
    <t>57</t>
  </si>
  <si>
    <t>白（裏起毛あり）</t>
  </si>
  <si>
    <r>
      <rPr>
        <sz val="12"/>
        <rFont val="MS PMincho"/>
        <charset val="134"/>
      </rPr>
      <t>White</t>
    </r>
    <r>
      <rPr>
        <sz val="12"/>
        <rFont val="宋体"/>
        <charset val="134"/>
      </rPr>
      <t>WB</t>
    </r>
    <r>
      <rPr>
        <sz val="12"/>
        <rFont val="宋体"/>
        <charset val="134"/>
      </rPr>
      <t>rushing</t>
    </r>
  </si>
  <si>
    <t>紺（裏起毛あり）</t>
  </si>
  <si>
    <t>NavyABrushing</t>
  </si>
  <si>
    <t>白</t>
  </si>
  <si>
    <t>色1</t>
  </si>
  <si>
    <r>
      <rPr>
        <sz val="12"/>
        <rFont val="MS PMincho"/>
        <charset val="134"/>
      </rPr>
      <t>C</t>
    </r>
    <r>
      <rPr>
        <sz val="12"/>
        <rFont val="宋体"/>
        <charset val="134"/>
      </rPr>
      <t>olor1</t>
    </r>
  </si>
  <si>
    <t>色2</t>
  </si>
  <si>
    <r>
      <rPr>
        <sz val="12"/>
        <rFont val="MS PMincho"/>
        <charset val="134"/>
      </rPr>
      <t>C</t>
    </r>
    <r>
      <rPr>
        <sz val="12"/>
        <rFont val="宋体"/>
        <charset val="134"/>
      </rPr>
      <t>olor2</t>
    </r>
  </si>
  <si>
    <t>色3</t>
  </si>
  <si>
    <r>
      <rPr>
        <sz val="12"/>
        <rFont val="MS PMincho"/>
        <charset val="134"/>
      </rPr>
      <t>C</t>
    </r>
    <r>
      <rPr>
        <sz val="12"/>
        <rFont val="宋体"/>
        <charset val="134"/>
      </rPr>
      <t>olor3</t>
    </r>
  </si>
  <si>
    <t>色4</t>
  </si>
  <si>
    <r>
      <rPr>
        <sz val="12"/>
        <rFont val="MS PMincho"/>
        <charset val="134"/>
      </rPr>
      <t>C</t>
    </r>
    <r>
      <rPr>
        <sz val="12"/>
        <rFont val="宋体"/>
        <charset val="134"/>
      </rPr>
      <t>olor4</t>
    </r>
  </si>
  <si>
    <t>色5</t>
  </si>
  <si>
    <r>
      <rPr>
        <sz val="12"/>
        <rFont val="MS PMincho"/>
        <charset val="134"/>
      </rPr>
      <t>C</t>
    </r>
    <r>
      <rPr>
        <sz val="12"/>
        <rFont val="宋体"/>
        <charset val="134"/>
      </rPr>
      <t>olor5</t>
    </r>
  </si>
  <si>
    <t>色6</t>
  </si>
  <si>
    <r>
      <rPr>
        <sz val="12"/>
        <rFont val="MS PMincho"/>
        <charset val="134"/>
      </rPr>
      <t>C</t>
    </r>
    <r>
      <rPr>
        <sz val="12"/>
        <rFont val="宋体"/>
        <charset val="134"/>
      </rPr>
      <t>olor6</t>
    </r>
  </si>
  <si>
    <t>色7</t>
  </si>
  <si>
    <r>
      <rPr>
        <sz val="12"/>
        <rFont val="MS PMincho"/>
        <charset val="134"/>
      </rPr>
      <t>C</t>
    </r>
    <r>
      <rPr>
        <sz val="12"/>
        <rFont val="宋体"/>
        <charset val="134"/>
      </rPr>
      <t>olor7</t>
    </r>
  </si>
  <si>
    <t>色8</t>
  </si>
  <si>
    <r>
      <rPr>
        <sz val="12"/>
        <rFont val="MS PMincho"/>
        <charset val="134"/>
      </rPr>
      <t>C</t>
    </r>
    <r>
      <rPr>
        <sz val="12"/>
        <rFont val="宋体"/>
        <charset val="134"/>
      </rPr>
      <t>olor</t>
    </r>
    <r>
      <rPr>
        <sz val="12"/>
        <rFont val="宋体"/>
        <charset val="134"/>
      </rPr>
      <t>8</t>
    </r>
  </si>
  <si>
    <t>6個</t>
  </si>
  <si>
    <t>6Set</t>
  </si>
  <si>
    <t>Free</t>
  </si>
  <si>
    <t>Natural</t>
  </si>
  <si>
    <t>ブラックC</t>
  </si>
  <si>
    <t>BlackC</t>
  </si>
  <si>
    <t>ブルーA</t>
  </si>
  <si>
    <t>BlueA</t>
  </si>
  <si>
    <t>ホワイトA</t>
  </si>
  <si>
    <t>WhiteA</t>
  </si>
  <si>
    <t>ロイヤルブルー</t>
  </si>
  <si>
    <t>RoyalBlue</t>
  </si>
  <si>
    <t>イエローD</t>
  </si>
  <si>
    <t>YellowD</t>
  </si>
  <si>
    <t>コーヒーB</t>
  </si>
  <si>
    <t>CoffeeB</t>
  </si>
  <si>
    <t>ブルーB</t>
  </si>
  <si>
    <t>BlueB</t>
  </si>
  <si>
    <t>ホワイトB</t>
  </si>
  <si>
    <t>WhiteB</t>
  </si>
  <si>
    <t>ホワイトE</t>
  </si>
  <si>
    <t>WhiteE</t>
  </si>
  <si>
    <t>ブラックF</t>
  </si>
  <si>
    <t>BlackF</t>
  </si>
  <si>
    <t>ホトピンク</t>
  </si>
  <si>
    <t>HotPink</t>
  </si>
  <si>
    <t>スカイブルー</t>
  </si>
  <si>
    <t>skyBlue</t>
  </si>
  <si>
    <t>マルチカラー</t>
  </si>
  <si>
    <t>MultiCol</t>
  </si>
  <si>
    <t>ミントグリーン</t>
  </si>
  <si>
    <t>MintGreen</t>
  </si>
  <si>
    <t>ワインレッド</t>
  </si>
  <si>
    <t>WineRed</t>
  </si>
  <si>
    <t>イエローg</t>
  </si>
  <si>
    <t>YellowG</t>
  </si>
  <si>
    <t>イエローh</t>
  </si>
  <si>
    <t>YellowH</t>
  </si>
  <si>
    <t>オレンジd</t>
  </si>
  <si>
    <t>OrangeD</t>
  </si>
  <si>
    <t>ピンクf</t>
  </si>
  <si>
    <t>PinkF</t>
  </si>
  <si>
    <t>ブラックh</t>
  </si>
  <si>
    <t>BlackH</t>
  </si>
  <si>
    <t>ブルーg</t>
  </si>
  <si>
    <t>BlueG</t>
  </si>
  <si>
    <t>ベージュb</t>
  </si>
  <si>
    <t>BeigeB</t>
  </si>
  <si>
    <t>ホワイトd</t>
  </si>
  <si>
    <t>WhiteD</t>
  </si>
  <si>
    <t>レッドg</t>
  </si>
  <si>
    <t>RedG</t>
  </si>
  <si>
    <t>レッドh</t>
  </si>
  <si>
    <t>RedH</t>
  </si>
  <si>
    <t>ロイヤルブルーg</t>
  </si>
  <si>
    <t>RoyalBlueG</t>
  </si>
  <si>
    <t>ワインレッドf</t>
  </si>
  <si>
    <t>WineF</t>
  </si>
  <si>
    <t>アーミーグリーンc</t>
  </si>
  <si>
    <t>ArmyGreenC</t>
  </si>
  <si>
    <t>イエローc</t>
  </si>
  <si>
    <t>YellowC</t>
  </si>
  <si>
    <t>イエローe</t>
  </si>
  <si>
    <t>YellowE</t>
  </si>
  <si>
    <t>ピンクc</t>
  </si>
  <si>
    <t>PinkC</t>
  </si>
  <si>
    <t>ブラックe</t>
  </si>
  <si>
    <t>BlackE</t>
  </si>
  <si>
    <t>ホワイトc</t>
  </si>
  <si>
    <t>WhiteC</t>
  </si>
  <si>
    <t>アーミーグリーンf</t>
  </si>
  <si>
    <t>ArmyGreenF</t>
  </si>
  <si>
    <t>イエロー1</t>
  </si>
  <si>
    <t>Yellow1</t>
  </si>
  <si>
    <t>ピンク1</t>
  </si>
  <si>
    <t>Pink1</t>
  </si>
  <si>
    <t>ブルー1</t>
  </si>
  <si>
    <t>Blue1</t>
  </si>
  <si>
    <t>スイカレッド</t>
  </si>
  <si>
    <t>WmlRed</t>
  </si>
  <si>
    <t>グレーA</t>
  </si>
  <si>
    <t>GrayA</t>
  </si>
  <si>
    <t>グレーB</t>
  </si>
  <si>
    <t>GrayB</t>
  </si>
  <si>
    <t>ピンクA</t>
  </si>
  <si>
    <t>PinkA</t>
  </si>
  <si>
    <t>ピンクB</t>
  </si>
  <si>
    <t>PinkB</t>
  </si>
  <si>
    <t>ブラックA</t>
  </si>
  <si>
    <t>BlackA</t>
  </si>
  <si>
    <t>ブラックB</t>
  </si>
  <si>
    <t>BlackB</t>
  </si>
  <si>
    <t>色9</t>
  </si>
  <si>
    <r>
      <rPr>
        <sz val="12"/>
        <rFont val="MS PMincho"/>
        <charset val="134"/>
      </rPr>
      <t>C</t>
    </r>
    <r>
      <rPr>
        <sz val="12"/>
        <rFont val="宋体"/>
        <charset val="134"/>
      </rPr>
      <t>olor</t>
    </r>
    <r>
      <rPr>
        <sz val="12"/>
        <rFont val="宋体"/>
        <charset val="134"/>
      </rPr>
      <t>9</t>
    </r>
  </si>
  <si>
    <t>色10</t>
  </si>
  <si>
    <r>
      <rPr>
        <sz val="12"/>
        <rFont val="MS PMincho"/>
        <charset val="134"/>
      </rPr>
      <t>C</t>
    </r>
    <r>
      <rPr>
        <sz val="12"/>
        <rFont val="宋体"/>
        <charset val="134"/>
      </rPr>
      <t>olor</t>
    </r>
    <r>
      <rPr>
        <sz val="12"/>
        <rFont val="宋体"/>
        <charset val="134"/>
      </rPr>
      <t>10</t>
    </r>
  </si>
  <si>
    <t>色11</t>
  </si>
  <si>
    <r>
      <rPr>
        <sz val="12"/>
        <rFont val="MS PMincho"/>
        <charset val="134"/>
      </rPr>
      <t>C</t>
    </r>
    <r>
      <rPr>
        <sz val="12"/>
        <rFont val="宋体"/>
        <charset val="134"/>
      </rPr>
      <t>olor</t>
    </r>
    <r>
      <rPr>
        <sz val="12"/>
        <rFont val="宋体"/>
        <charset val="134"/>
      </rPr>
      <t>11</t>
    </r>
  </si>
  <si>
    <t>色12</t>
  </si>
  <si>
    <r>
      <rPr>
        <sz val="12"/>
        <rFont val="MS PMincho"/>
        <charset val="134"/>
      </rPr>
      <t>C</t>
    </r>
    <r>
      <rPr>
        <sz val="12"/>
        <rFont val="宋体"/>
        <charset val="134"/>
      </rPr>
      <t>olor</t>
    </r>
    <r>
      <rPr>
        <sz val="12"/>
        <rFont val="宋体"/>
        <charset val="134"/>
      </rPr>
      <t>12</t>
    </r>
  </si>
  <si>
    <t>色13</t>
  </si>
  <si>
    <r>
      <rPr>
        <sz val="12"/>
        <rFont val="MS PMincho"/>
        <charset val="134"/>
      </rPr>
      <t>C</t>
    </r>
    <r>
      <rPr>
        <sz val="12"/>
        <rFont val="宋体"/>
        <charset val="134"/>
      </rPr>
      <t>olor</t>
    </r>
    <r>
      <rPr>
        <sz val="12"/>
        <rFont val="宋体"/>
        <charset val="134"/>
      </rPr>
      <t>13</t>
    </r>
  </si>
  <si>
    <t>色14</t>
  </si>
  <si>
    <r>
      <rPr>
        <sz val="12"/>
        <rFont val="MS PMincho"/>
        <charset val="134"/>
      </rPr>
      <t>C</t>
    </r>
    <r>
      <rPr>
        <sz val="12"/>
        <rFont val="宋体"/>
        <charset val="134"/>
      </rPr>
      <t>olor</t>
    </r>
    <r>
      <rPr>
        <sz val="12"/>
        <rFont val="宋体"/>
        <charset val="134"/>
      </rPr>
      <t>14</t>
    </r>
  </si>
  <si>
    <t>色15</t>
  </si>
  <si>
    <r>
      <rPr>
        <sz val="12"/>
        <rFont val="MS PMincho"/>
        <charset val="134"/>
      </rPr>
      <t>C</t>
    </r>
    <r>
      <rPr>
        <sz val="12"/>
        <rFont val="宋体"/>
        <charset val="134"/>
      </rPr>
      <t>olor</t>
    </r>
    <r>
      <rPr>
        <sz val="12"/>
        <rFont val="宋体"/>
        <charset val="134"/>
      </rPr>
      <t>15</t>
    </r>
  </si>
  <si>
    <t>色16</t>
  </si>
  <si>
    <r>
      <rPr>
        <sz val="12"/>
        <rFont val="MS PMincho"/>
        <charset val="134"/>
      </rPr>
      <t>C</t>
    </r>
    <r>
      <rPr>
        <sz val="12"/>
        <rFont val="宋体"/>
        <charset val="134"/>
      </rPr>
      <t>olor</t>
    </r>
    <r>
      <rPr>
        <sz val="12"/>
        <rFont val="宋体"/>
        <charset val="134"/>
      </rPr>
      <t>16</t>
    </r>
  </si>
  <si>
    <t>色17</t>
  </si>
  <si>
    <r>
      <rPr>
        <sz val="12"/>
        <rFont val="MS PMincho"/>
        <charset val="134"/>
      </rPr>
      <t>C</t>
    </r>
    <r>
      <rPr>
        <sz val="12"/>
        <rFont val="宋体"/>
        <charset val="134"/>
      </rPr>
      <t>olor</t>
    </r>
    <r>
      <rPr>
        <sz val="12"/>
        <rFont val="宋体"/>
        <charset val="134"/>
      </rPr>
      <t>17</t>
    </r>
  </si>
  <si>
    <t>色18</t>
  </si>
  <si>
    <r>
      <rPr>
        <sz val="12"/>
        <rFont val="MS PMincho"/>
        <charset val="134"/>
      </rPr>
      <t>C</t>
    </r>
    <r>
      <rPr>
        <sz val="12"/>
        <rFont val="宋体"/>
        <charset val="134"/>
      </rPr>
      <t>olor</t>
    </r>
    <r>
      <rPr>
        <sz val="12"/>
        <rFont val="宋体"/>
        <charset val="134"/>
      </rPr>
      <t>18</t>
    </r>
  </si>
  <si>
    <t>色19</t>
  </si>
  <si>
    <r>
      <rPr>
        <sz val="12"/>
        <rFont val="MS PMincho"/>
        <charset val="134"/>
      </rPr>
      <t>C</t>
    </r>
    <r>
      <rPr>
        <sz val="12"/>
        <rFont val="宋体"/>
        <charset val="134"/>
      </rPr>
      <t>olor</t>
    </r>
    <r>
      <rPr>
        <sz val="12"/>
        <rFont val="宋体"/>
        <charset val="134"/>
      </rPr>
      <t>19</t>
    </r>
  </si>
  <si>
    <t>色20</t>
  </si>
  <si>
    <r>
      <rPr>
        <sz val="12"/>
        <rFont val="MS PMincho"/>
        <charset val="134"/>
      </rPr>
      <t>C</t>
    </r>
    <r>
      <rPr>
        <sz val="12"/>
        <rFont val="宋体"/>
        <charset val="134"/>
      </rPr>
      <t>olor</t>
    </r>
    <r>
      <rPr>
        <sz val="12"/>
        <rFont val="宋体"/>
        <charset val="134"/>
      </rPr>
      <t>20</t>
    </r>
  </si>
  <si>
    <t>色21</t>
  </si>
  <si>
    <r>
      <rPr>
        <sz val="12"/>
        <rFont val="MS PMincho"/>
        <charset val="134"/>
      </rPr>
      <t>C</t>
    </r>
    <r>
      <rPr>
        <sz val="12"/>
        <rFont val="宋体"/>
        <charset val="134"/>
      </rPr>
      <t>olor</t>
    </r>
    <r>
      <rPr>
        <sz val="12"/>
        <rFont val="宋体"/>
        <charset val="134"/>
      </rPr>
      <t>21</t>
    </r>
  </si>
  <si>
    <t>色22</t>
  </si>
  <si>
    <r>
      <rPr>
        <sz val="12"/>
        <rFont val="MS PMincho"/>
        <charset val="134"/>
      </rPr>
      <t>C</t>
    </r>
    <r>
      <rPr>
        <sz val="12"/>
        <rFont val="宋体"/>
        <charset val="134"/>
      </rPr>
      <t>olor</t>
    </r>
    <r>
      <rPr>
        <sz val="12"/>
        <rFont val="宋体"/>
        <charset val="134"/>
      </rPr>
      <t>22</t>
    </r>
  </si>
  <si>
    <t>色23</t>
  </si>
  <si>
    <r>
      <rPr>
        <sz val="12"/>
        <rFont val="MS PMincho"/>
        <charset val="134"/>
      </rPr>
      <t>C</t>
    </r>
    <r>
      <rPr>
        <sz val="12"/>
        <rFont val="宋体"/>
        <charset val="134"/>
      </rPr>
      <t>olor</t>
    </r>
    <r>
      <rPr>
        <sz val="12"/>
        <rFont val="宋体"/>
        <charset val="134"/>
      </rPr>
      <t>23</t>
    </r>
  </si>
  <si>
    <t>色24</t>
  </si>
  <si>
    <r>
      <rPr>
        <sz val="12"/>
        <rFont val="MS PMincho"/>
        <charset val="134"/>
      </rPr>
      <t>C</t>
    </r>
    <r>
      <rPr>
        <sz val="12"/>
        <rFont val="宋体"/>
        <charset val="134"/>
      </rPr>
      <t>olor</t>
    </r>
    <r>
      <rPr>
        <sz val="12"/>
        <rFont val="宋体"/>
        <charset val="134"/>
      </rPr>
      <t>24</t>
    </r>
  </si>
  <si>
    <t>色25</t>
  </si>
  <si>
    <r>
      <rPr>
        <sz val="12"/>
        <rFont val="MS PMincho"/>
        <charset val="134"/>
      </rPr>
      <t>C</t>
    </r>
    <r>
      <rPr>
        <sz val="12"/>
        <rFont val="宋体"/>
        <charset val="134"/>
      </rPr>
      <t>olor</t>
    </r>
    <r>
      <rPr>
        <sz val="12"/>
        <rFont val="宋体"/>
        <charset val="134"/>
      </rPr>
      <t>25</t>
    </r>
  </si>
  <si>
    <t>グリーンc</t>
  </si>
  <si>
    <t>GreenC</t>
  </si>
  <si>
    <t>ホトピンクc</t>
  </si>
  <si>
    <t>HotPinkC</t>
  </si>
  <si>
    <t>レッドc</t>
  </si>
  <si>
    <t>RedC</t>
  </si>
  <si>
    <t>レッドB</t>
  </si>
  <si>
    <t>RedB</t>
  </si>
  <si>
    <t>ホトピンクA</t>
  </si>
  <si>
    <t>HotPinkA</t>
  </si>
  <si>
    <t>イエローB</t>
  </si>
  <si>
    <t>YellowB</t>
  </si>
  <si>
    <t>イエローa</t>
  </si>
  <si>
    <t>YellowA</t>
  </si>
  <si>
    <t>オレンジj</t>
  </si>
  <si>
    <t>OrangeJ</t>
  </si>
  <si>
    <t>オレンジk</t>
  </si>
  <si>
    <t>OrangeK</t>
  </si>
  <si>
    <t>オレンジl</t>
  </si>
  <si>
    <t>OrangeL</t>
  </si>
  <si>
    <t>パープルB</t>
  </si>
  <si>
    <t>purpleB</t>
  </si>
  <si>
    <t>パープルa</t>
  </si>
  <si>
    <t>purpleA</t>
  </si>
  <si>
    <t>ブラックj</t>
  </si>
  <si>
    <t>BlackJ</t>
  </si>
  <si>
    <t>ブラックk</t>
  </si>
  <si>
    <t>BlackK</t>
  </si>
  <si>
    <t>ブラックl</t>
  </si>
  <si>
    <t>BlackL</t>
  </si>
  <si>
    <t>ブルーj</t>
  </si>
  <si>
    <t>BlueJ</t>
  </si>
  <si>
    <t>ブルーk</t>
  </si>
  <si>
    <t>BlueK</t>
  </si>
  <si>
    <t>レッドa</t>
  </si>
  <si>
    <t>RedA</t>
  </si>
  <si>
    <t>レッドj</t>
  </si>
  <si>
    <t>RedJ</t>
  </si>
  <si>
    <t>レッドk</t>
  </si>
  <si>
    <t>RedK</t>
  </si>
  <si>
    <t>レッドl</t>
  </si>
  <si>
    <t>RedL</t>
  </si>
  <si>
    <t>イエローI</t>
  </si>
  <si>
    <t>YellowI</t>
  </si>
  <si>
    <t>グレーF</t>
  </si>
  <si>
    <t>GrayF</t>
  </si>
  <si>
    <t>ブラックD</t>
  </si>
  <si>
    <t>BlackD</t>
  </si>
  <si>
    <t>ホワイトF</t>
  </si>
  <si>
    <t>WhiteF</t>
  </si>
  <si>
    <t>ホワイトI</t>
  </si>
  <si>
    <t>WhiteI</t>
  </si>
  <si>
    <t>レッドI</t>
  </si>
  <si>
    <t>RedI</t>
  </si>
  <si>
    <t>ブルーC</t>
  </si>
  <si>
    <t>BlueC</t>
  </si>
  <si>
    <t>ミントグリーンC</t>
  </si>
  <si>
    <t>MintGreenC</t>
  </si>
  <si>
    <t>グリーンA</t>
  </si>
  <si>
    <t>GreenA</t>
  </si>
  <si>
    <t>グリーンB</t>
  </si>
  <si>
    <t>GreenB</t>
  </si>
  <si>
    <t>ネービーB</t>
  </si>
  <si>
    <t>NavyB</t>
  </si>
  <si>
    <t>ワインレッドA</t>
  </si>
  <si>
    <t>WineRedA</t>
  </si>
  <si>
    <t>グリーンD</t>
  </si>
  <si>
    <t>GreenD</t>
  </si>
  <si>
    <t>ブルーD</t>
  </si>
  <si>
    <t>BlueD</t>
  </si>
  <si>
    <t>レッドD</t>
  </si>
  <si>
    <t>RedD</t>
  </si>
  <si>
    <t>グレーD</t>
  </si>
  <si>
    <t>GrayD</t>
  </si>
  <si>
    <t>オレンジC</t>
  </si>
  <si>
    <t>OrangeC</t>
  </si>
  <si>
    <t>ライトピンク</t>
  </si>
  <si>
    <t>LightPink</t>
  </si>
  <si>
    <t>パープルC</t>
  </si>
  <si>
    <t>PurpleC</t>
  </si>
  <si>
    <t>ネービーD</t>
  </si>
  <si>
    <t>NavyD</t>
  </si>
  <si>
    <t>ワインレッドD</t>
  </si>
  <si>
    <t>WineD</t>
  </si>
  <si>
    <t>グレーC</t>
  </si>
  <si>
    <t>GrayC</t>
  </si>
  <si>
    <t>浅灰色</t>
  </si>
  <si>
    <t>ライトグレー</t>
  </si>
  <si>
    <t>LightGray</t>
  </si>
  <si>
    <t>アーミーグリーンb</t>
  </si>
  <si>
    <t>ArGreenB</t>
  </si>
  <si>
    <t>ネイビーb</t>
  </si>
  <si>
    <t>カーキa</t>
  </si>
  <si>
    <t>KhakiA</t>
  </si>
  <si>
    <t>花柄</t>
  </si>
  <si>
    <t>Floral</t>
  </si>
  <si>
    <t>A</t>
  </si>
  <si>
    <t>B</t>
  </si>
  <si>
    <t>C</t>
  </si>
  <si>
    <t>D</t>
  </si>
  <si>
    <t>E</t>
  </si>
  <si>
    <t>F</t>
  </si>
  <si>
    <t>G</t>
  </si>
  <si>
    <t>H</t>
  </si>
  <si>
    <t>I</t>
  </si>
  <si>
    <t>J</t>
  </si>
  <si>
    <t>黒</t>
  </si>
  <si>
    <t>Sレッド丸</t>
  </si>
  <si>
    <t>RedS</t>
  </si>
  <si>
    <t>カーキVネック</t>
  </si>
  <si>
    <t>KhakiV</t>
  </si>
  <si>
    <t>カーキhigh</t>
  </si>
  <si>
    <t>KhakiH</t>
  </si>
  <si>
    <t>カーキ丸</t>
  </si>
  <si>
    <t>KhakiW</t>
  </si>
  <si>
    <t>グレーVネック</t>
  </si>
  <si>
    <t>GrayV</t>
  </si>
  <si>
    <t>グレーhigh</t>
  </si>
  <si>
    <t>GrayH</t>
  </si>
  <si>
    <t>グレー丸</t>
  </si>
  <si>
    <t>GrayW</t>
  </si>
  <si>
    <t>モスグリーンhigh</t>
  </si>
  <si>
    <t>GreenH</t>
  </si>
  <si>
    <t>レッドVネック</t>
  </si>
  <si>
    <t>RedV</t>
  </si>
  <si>
    <t>レッドhigh</t>
  </si>
  <si>
    <t>黒Vネック</t>
  </si>
  <si>
    <t>BlackV</t>
  </si>
  <si>
    <t>黒high</t>
  </si>
  <si>
    <t>黒丸</t>
  </si>
  <si>
    <t>BlackW</t>
  </si>
  <si>
    <t>ブラック（メンズ）</t>
  </si>
  <si>
    <t>Black-Men</t>
  </si>
  <si>
    <t>ブラック（レディース）</t>
  </si>
  <si>
    <t>Black-Lady</t>
  </si>
  <si>
    <t>ホワイト（メンズ）</t>
  </si>
  <si>
    <t>White-Men</t>
  </si>
  <si>
    <t>ホワイト（レディース）</t>
  </si>
  <si>
    <t>White-Lady</t>
  </si>
  <si>
    <t>スカイグリーン</t>
  </si>
  <si>
    <t>SkyGreen</t>
  </si>
  <si>
    <t>ドットグリーン</t>
  </si>
  <si>
    <t>ReGreen</t>
  </si>
  <si>
    <t>ドットピンク</t>
  </si>
  <si>
    <t>RePink</t>
  </si>
  <si>
    <t>ドットブラウン</t>
  </si>
  <si>
    <t>ReBrown</t>
  </si>
  <si>
    <t>グレー*裏起毛</t>
  </si>
  <si>
    <t>GrayPlus</t>
  </si>
  <si>
    <t>ブラック*裏起毛</t>
  </si>
  <si>
    <t>ホワイト*裏起毛</t>
  </si>
  <si>
    <t>レッド*裏起毛</t>
  </si>
  <si>
    <t>100枚</t>
  </si>
  <si>
    <t>100PCS</t>
  </si>
  <si>
    <t>200枚</t>
  </si>
  <si>
    <t>200PCS</t>
  </si>
  <si>
    <t>5個セット</t>
  </si>
  <si>
    <t>5PCS</t>
  </si>
  <si>
    <t>10個セット</t>
  </si>
  <si>
    <t>10PCS</t>
  </si>
  <si>
    <t>テラコッタ</t>
  </si>
  <si>
    <t>terracotta</t>
  </si>
  <si>
    <t>浅黄色</t>
  </si>
  <si>
    <t>ライトイエロー</t>
  </si>
  <si>
    <t>Light yellow</t>
  </si>
  <si>
    <t>シャンパン</t>
  </si>
  <si>
    <t>Champagne</t>
  </si>
  <si>
    <t>TemplateType=fptcustom</t>
  </si>
  <si>
    <t>Version=2024.0113</t>
  </si>
  <si>
    <t>TemplateSignature=U0hJUlQ=</t>
  </si>
  <si>
    <t>settings=attributeRow=3&amp;contentLanguageTag=en_US&amp;dataRow=4&amp;feedType=113&amp;headerLanguageTag=en_US&amp;isEdit=false&amp;isExpose=false&amp;isProcessingSummary=false&amp;labelRow=2&amp;metadataVersion=MatprodVm9MVFByb2RfMTIzNA%3D%3D&amp;primaryMarketplaceId=amzn1.mp.o.ATVPDKIKX0DER&amp;ptds=U0hJUlQ%3D&amp;reportProvenance=false&amp;templateIdentifier=df341e0b-6d76-4448-b360-804b0e88d0b5&amp;timestamp=2024-01-13T09%3A58%3A42.290Z</t>
  </si>
  <si>
    <t xml:space="preserve">     Use ENGLISH to fill this template.DO NOT modify or delete the colored header rows. To expand all optional columns, click the "2" button on the top left.</t>
  </si>
  <si>
    <t>Images</t>
  </si>
  <si>
    <t>Variation</t>
  </si>
  <si>
    <t>Discovery</t>
  </si>
  <si>
    <t>Product Enrichment</t>
  </si>
  <si>
    <t>Dimensions</t>
  </si>
  <si>
    <t>Fulfillment</t>
  </si>
  <si>
    <t>Compliance</t>
  </si>
  <si>
    <t>Offer</t>
  </si>
  <si>
    <t>B2B</t>
  </si>
  <si>
    <t>Product Type</t>
  </si>
  <si>
    <t>Seller SKU</t>
  </si>
  <si>
    <t>Brand Name</t>
  </si>
  <si>
    <t>Update Delete</t>
  </si>
  <si>
    <t>Product Name</t>
  </si>
  <si>
    <t>Product ID</t>
  </si>
  <si>
    <t>Product ID Type</t>
  </si>
  <si>
    <t>Product Description</t>
  </si>
  <si>
    <t>Item Type Keyword</t>
  </si>
  <si>
    <t>Closure Type</t>
  </si>
  <si>
    <t>Style Number</t>
  </si>
  <si>
    <t>Model Name</t>
  </si>
  <si>
    <t>Outer Material Type</t>
  </si>
  <si>
    <t>Manufacturer Part Number</t>
  </si>
  <si>
    <t>Manufacturer</t>
  </si>
  <si>
    <t>Product Care Instructions</t>
  </si>
  <si>
    <t>Your Price</t>
  </si>
  <si>
    <t>Quantity</t>
  </si>
  <si>
    <t>Target Gender</t>
  </si>
  <si>
    <t>Age Range Description</t>
  </si>
  <si>
    <t>Shirt Size System</t>
  </si>
  <si>
    <t>Shirt Size Class</t>
  </si>
  <si>
    <t>Shirt Size Value</t>
  </si>
  <si>
    <t>Shirt Size To Range</t>
  </si>
  <si>
    <t>Neck Size Value</t>
  </si>
  <si>
    <t>Neck Size To Value</t>
  </si>
  <si>
    <t>Sleeve Length Value</t>
  </si>
  <si>
    <t>Sleeve Length To Value</t>
  </si>
  <si>
    <t>Shirt Body Type</t>
  </si>
  <si>
    <t>Shirt Height Type</t>
  </si>
  <si>
    <t>Main Image URL</t>
  </si>
  <si>
    <t>Other Image URL</t>
  </si>
  <si>
    <t>Swatch Image URL</t>
  </si>
  <si>
    <t>Parentage</t>
  </si>
  <si>
    <t>Parent SKU</t>
  </si>
  <si>
    <t>Relationship Type</t>
  </si>
  <si>
    <t>Variation Theme</t>
  </si>
  <si>
    <t>Package Level</t>
  </si>
  <si>
    <t>package_contains_quantity</t>
  </si>
  <si>
    <t>package_contains_identifier</t>
  </si>
  <si>
    <t>Key Product Features</t>
  </si>
  <si>
    <t>Search Terms</t>
  </si>
  <si>
    <t>Belt Style</t>
  </si>
  <si>
    <t>Collar Type</t>
  </si>
  <si>
    <t>Color Map</t>
  </si>
  <si>
    <t>Control Type</t>
  </si>
  <si>
    <t>Department</t>
  </si>
  <si>
    <t>Fit Type</t>
  </si>
  <si>
    <t>Country/Region as Labeled</t>
  </si>
  <si>
    <t>Fur Description</t>
  </si>
  <si>
    <t>NeckStyle</t>
  </si>
  <si>
    <t>Pattern Style</t>
  </si>
  <si>
    <t>Pocket Description</t>
  </si>
  <si>
    <t>Special Size Type</t>
  </si>
  <si>
    <t>Additional Features</t>
  </si>
  <si>
    <t>Style</t>
  </si>
  <si>
    <t>theme</t>
  </si>
  <si>
    <t>Top Style</t>
  </si>
  <si>
    <t>Water Resistance Level</t>
  </si>
  <si>
    <t>Is Autographed</t>
  </si>
  <si>
    <t>Item Type Name</t>
  </si>
  <si>
    <t>Occasion Type</t>
  </si>
  <si>
    <t>Sport Type</t>
  </si>
  <si>
    <t>Athlete</t>
  </si>
  <si>
    <t>Team Name</t>
  </si>
  <si>
    <t>Season and collection year</t>
  </si>
  <si>
    <t>Material type</t>
  </si>
  <si>
    <t>Occasion Lifestyle</t>
  </si>
  <si>
    <t>Weave Type</t>
  </si>
  <si>
    <t>League Name</t>
  </si>
  <si>
    <t>Shaft Style Type</t>
  </si>
  <si>
    <t>Product Lifecycle Supply Type</t>
  </si>
  <si>
    <t>Pattern</t>
  </si>
  <si>
    <t>Item Booking Date</t>
  </si>
  <si>
    <t>character</t>
  </si>
  <si>
    <t>Fabric Wash</t>
  </si>
  <si>
    <t>Sleeve Type</t>
  </si>
  <si>
    <t>Strap Type</t>
  </si>
  <si>
    <t>Underwire Type</t>
  </si>
  <si>
    <t>Duration Unit</t>
  </si>
  <si>
    <t>Certifying Authority Name</t>
  </si>
  <si>
    <t>Duration</t>
  </si>
  <si>
    <t>Geographic Jurisdiction</t>
  </si>
  <si>
    <t>flash_point_unit_of_measure</t>
  </si>
  <si>
    <t>Shipping Weight</t>
  </si>
  <si>
    <t>Website Shipping Weight Unit Of Measure</t>
  </si>
  <si>
    <t>Chest Size</t>
  </si>
  <si>
    <t>Chest Size Unit Of Measure</t>
  </si>
  <si>
    <t>Cup Size</t>
  </si>
  <si>
    <t>Neck Size</t>
  </si>
  <si>
    <t>Neck Size Unit Of Measure</t>
  </si>
  <si>
    <t>Size Map</t>
  </si>
  <si>
    <t>SleeveLength</t>
  </si>
  <si>
    <t>Sleeve Length Unit Of Measure</t>
  </si>
  <si>
    <t>Item Length Unit Of Measure</t>
  </si>
  <si>
    <t>Item Length</t>
  </si>
  <si>
    <t>Item Width</t>
  </si>
  <si>
    <t>Item Height</t>
  </si>
  <si>
    <t>Item Width Unit Of Measure</t>
  </si>
  <si>
    <t>Item Height Unit Of Measure</t>
  </si>
  <si>
    <t>Fulfillment Center ID</t>
  </si>
  <si>
    <t>Package Height</t>
  </si>
  <si>
    <t>Package Width</t>
  </si>
  <si>
    <t>Package Length</t>
  </si>
  <si>
    <t>Package Length Unit Of Measure</t>
  </si>
  <si>
    <t>Package Weight</t>
  </si>
  <si>
    <t>Package Weight Unit Of Measure</t>
  </si>
  <si>
    <t>Package Height Unit Of Measure</t>
  </si>
  <si>
    <t>Package Width Unit Of Measure</t>
  </si>
  <si>
    <t>Compliance Regulation Type</t>
  </si>
  <si>
    <t>Regulatory Identification</t>
  </si>
  <si>
    <t>Cpsia Warning</t>
  </si>
  <si>
    <t>CPSIA Warning Description</t>
  </si>
  <si>
    <t>Fabric Type</t>
  </si>
  <si>
    <t>Import Designation</t>
  </si>
  <si>
    <t>Item Weight Unit</t>
  </si>
  <si>
    <t>Item Weight</t>
  </si>
  <si>
    <t>Country/Region of Origin</t>
  </si>
  <si>
    <t>Is this product a battery or does it utilize batteries?</t>
  </si>
  <si>
    <t>Batteries are Included</t>
  </si>
  <si>
    <t>Battery composition</t>
  </si>
  <si>
    <t>Battery type/size</t>
  </si>
  <si>
    <t>Number of batteries</t>
  </si>
  <si>
    <t>Battery weight (grams)</t>
  </si>
  <si>
    <t>Battery Weight Unit</t>
  </si>
  <si>
    <t>Number of Lithium Metal Cells</t>
  </si>
  <si>
    <t>Number of Lithium-ion Cells</t>
  </si>
  <si>
    <t>Lithium Battery Packaging</t>
  </si>
  <si>
    <t>Watt hours per battery</t>
  </si>
  <si>
    <t>Lithium Battery Energy Content Unit</t>
  </si>
  <si>
    <t>Lithium content (grams)</t>
  </si>
  <si>
    <t>Lithium Battery Weight Unit</t>
  </si>
  <si>
    <t>Applicable Dangerous Goods Regulations</t>
  </si>
  <si>
    <t>UN number</t>
  </si>
  <si>
    <t>Safety Data Sheet (SDS) URL</t>
  </si>
  <si>
    <t>Volume</t>
  </si>
  <si>
    <t>item_volume_unit_of_measure</t>
  </si>
  <si>
    <t>legal_compliance_certification_expiration_date</t>
  </si>
  <si>
    <t>Regulatory Organization Name</t>
  </si>
  <si>
    <t>Compliance Certification Status</t>
  </si>
  <si>
    <t>Flash point (°C)?</t>
  </si>
  <si>
    <t>Certification Date of Issue</t>
  </si>
  <si>
    <t>Material/Fabric Regulations</t>
  </si>
  <si>
    <t>Compliance Certification Value</t>
  </si>
  <si>
    <t>Legal Compliance Certification</t>
  </si>
  <si>
    <t>Categorization/GHS pictograms (select all that apply)</t>
  </si>
  <si>
    <t>California Proposition 65 Warning Type</t>
  </si>
  <si>
    <t>California Proposition 65 Chemical Names</t>
  </si>
  <si>
    <t>Additional Chemical Name1</t>
  </si>
  <si>
    <t>Additional Chemical Name2</t>
  </si>
  <si>
    <t>Additional Chemical Name3</t>
  </si>
  <si>
    <t>Additional Chemical Name4</t>
  </si>
  <si>
    <t>Pesticide Marking</t>
  </si>
  <si>
    <t>Pesticide Registration Status</t>
  </si>
  <si>
    <t>Pesticide Certification Number</t>
  </si>
  <si>
    <t>Radio Frequency Emission &amp; Authorization Status</t>
  </si>
  <si>
    <t>SDoC Contact Email Address</t>
  </si>
  <si>
    <t>SDOC Contact US Phone Number</t>
  </si>
  <si>
    <t>SDoC Contact Name</t>
  </si>
  <si>
    <t>FCC ID</t>
  </si>
  <si>
    <t>SDoC Contact US Mailing Address</t>
  </si>
  <si>
    <t>List Price</t>
  </si>
  <si>
    <t>Minimum Advertised Price</t>
  </si>
  <si>
    <t>Currency</t>
  </si>
  <si>
    <t>Item Condition</t>
  </si>
  <si>
    <t>Condition Note</t>
  </si>
  <si>
    <t>Product Tax Code</t>
  </si>
  <si>
    <t>Handling Time</t>
  </si>
  <si>
    <t>Launch Date</t>
  </si>
  <si>
    <t>Release Date</t>
  </si>
  <si>
    <t>Restock Date</t>
  </si>
  <si>
    <t>Sale Price</t>
  </si>
  <si>
    <t>Sale Start Date</t>
  </si>
  <si>
    <t>Sale End Date</t>
  </si>
  <si>
    <t>Offer End Date</t>
  </si>
  <si>
    <t>Max Aggregate Ship Quantity</t>
  </si>
  <si>
    <t>Package Quantity</t>
  </si>
  <si>
    <t>Number of Items</t>
  </si>
  <si>
    <t>Offering Can Be Gift Messaged</t>
  </si>
  <si>
    <t>Is Gift Wrap Available</t>
  </si>
  <si>
    <t>Is Discontinued by Manufacturer</t>
  </si>
  <si>
    <t>Max Order Quantity</t>
  </si>
  <si>
    <t>Shipping-Template</t>
  </si>
  <si>
    <t>Offer Start Date</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</si>
  <si>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</si>
  <si>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</si>
  <si>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</si>
  <si>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</si>
  <si>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</si>
  <si>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</si>
  <si>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</si>
  <si>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</si>
  <si>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</si>
  <si>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</si>
  <si>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</si>
  <si>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</si>
  <si>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Progressive Discount Type</t>
  </si>
  <si>
    <t>Progressive Discount Lower Bound 1</t>
  </si>
  <si>
    <t>Progressive Discount Value 1</t>
  </si>
  <si>
    <t>Progressive Discount Lower Bound 2</t>
  </si>
  <si>
    <t>Progressive Discount Value 2</t>
  </si>
  <si>
    <t>Progressive Discount Lower Bound 3</t>
  </si>
  <si>
    <t>Progressive Discount Value 3</t>
  </si>
  <si>
    <t>National Stock Number</t>
  </si>
  <si>
    <t>United Nations Standard Products and Services Code</t>
  </si>
  <si>
    <t>Pricing Action</t>
  </si>
  <si>
    <t>feed_product_type</t>
  </si>
  <si>
    <t>item_sku</t>
  </si>
  <si>
    <t>brand_name</t>
  </si>
  <si>
    <t>update_delete</t>
  </si>
  <si>
    <t>item_name</t>
  </si>
  <si>
    <t>external_product_id</t>
  </si>
  <si>
    <t>external_product_id_type</t>
  </si>
  <si>
    <t>product_description</t>
  </si>
  <si>
    <t>item_type</t>
  </si>
  <si>
    <t>closure_type</t>
  </si>
  <si>
    <t>model</t>
  </si>
  <si>
    <t>model_name</t>
  </si>
  <si>
    <t>outer_material_type1</t>
  </si>
  <si>
    <t>outer_material_type2</t>
  </si>
  <si>
    <t>outer_material_type3</t>
  </si>
  <si>
    <t>outer_material_type4</t>
  </si>
  <si>
    <t>outer_material_type5</t>
  </si>
  <si>
    <t>part_number</t>
  </si>
  <si>
    <t>manufacturer</t>
  </si>
  <si>
    <t>care_instructions</t>
  </si>
  <si>
    <t>standard_price</t>
  </si>
  <si>
    <t>quantity</t>
  </si>
  <si>
    <t>target_gender</t>
  </si>
  <si>
    <t>age_range_description</t>
  </si>
  <si>
    <t>shirt_size_system</t>
  </si>
  <si>
    <t>shirt_size_class</t>
  </si>
  <si>
    <t>shirt_size</t>
  </si>
  <si>
    <t>shirt_size_to</t>
  </si>
  <si>
    <t>shirt_neck_size</t>
  </si>
  <si>
    <t>shirt_neck_size_to</t>
  </si>
  <si>
    <t>shirt_sleeve_length</t>
  </si>
  <si>
    <t>shirt_sleeve_length_to</t>
  </si>
  <si>
    <t>shirt_body_type</t>
  </si>
  <si>
    <t>shirt_height_type</t>
  </si>
  <si>
    <t>main_image_url</t>
  </si>
  <si>
    <t>other_image_url1</t>
  </si>
  <si>
    <t>other_image_url2</t>
  </si>
  <si>
    <t>other_image_url3</t>
  </si>
  <si>
    <t>other_image_url4</t>
  </si>
  <si>
    <t>other_image_url5</t>
  </si>
  <si>
    <t>other_image_url6</t>
  </si>
  <si>
    <t>other_image_url7</t>
  </si>
  <si>
    <t>other_image_url8</t>
  </si>
  <si>
    <t>swatch_image_url</t>
  </si>
  <si>
    <t>parent_child</t>
  </si>
  <si>
    <t>parent_sku</t>
  </si>
  <si>
    <t>relationship_type</t>
  </si>
  <si>
    <t>package_level</t>
  </si>
  <si>
    <t>generic_keywords</t>
  </si>
  <si>
    <t>belt_style</t>
  </si>
  <si>
    <t>collar_style</t>
  </si>
  <si>
    <t>color_name</t>
  </si>
  <si>
    <t>color_map</t>
  </si>
  <si>
    <t>control_type</t>
  </si>
  <si>
    <t>department_name</t>
  </si>
  <si>
    <t>fit_type</t>
  </si>
  <si>
    <t>country_as_labeled</t>
  </si>
  <si>
    <t>fur_description</t>
  </si>
  <si>
    <t>neck_style</t>
  </si>
  <si>
    <t>pattern_type</t>
  </si>
  <si>
    <t>pocket_description</t>
  </si>
  <si>
    <t>size_name</t>
  </si>
  <si>
    <t>special_size_type</t>
  </si>
  <si>
    <t>special_features1</t>
  </si>
  <si>
    <t>special_features2</t>
  </si>
  <si>
    <t>special_features3</t>
  </si>
  <si>
    <t>special_features4</t>
  </si>
  <si>
    <t>special_features5</t>
  </si>
  <si>
    <t>style_name</t>
  </si>
  <si>
    <t>top_style</t>
  </si>
  <si>
    <t>water_resistance_level</t>
  </si>
  <si>
    <t>is_autographed</t>
  </si>
  <si>
    <t>item_type_name</t>
  </si>
  <si>
    <t>occasion_type1</t>
  </si>
  <si>
    <t>occasion_type2</t>
  </si>
  <si>
    <t>occasion_type3</t>
  </si>
  <si>
    <t>occasion_type4</t>
  </si>
  <si>
    <t>occasion_type5</t>
  </si>
  <si>
    <t>sport_type1</t>
  </si>
  <si>
    <t>sport_type2</t>
  </si>
  <si>
    <t>athlete</t>
  </si>
  <si>
    <t>team_name</t>
  </si>
  <si>
    <t>collection_name</t>
  </si>
  <si>
    <t>material_type</t>
  </si>
  <si>
    <t>lifestyle</t>
  </si>
  <si>
    <t>weave_type</t>
  </si>
  <si>
    <t>league_name</t>
  </si>
  <si>
    <t>shaft_style_type</t>
  </si>
  <si>
    <t>lifecycle_supply_type</t>
  </si>
  <si>
    <t>pattern_name</t>
  </si>
  <si>
    <t>item_booking_date</t>
  </si>
  <si>
    <t>subject_character</t>
  </si>
  <si>
    <t>fabric_wash</t>
  </si>
  <si>
    <t>sleeve_type</t>
  </si>
  <si>
    <t>strap_type</t>
  </si>
  <si>
    <t>underwire_type</t>
  </si>
  <si>
    <t>duration_unit_of_measure</t>
  </si>
  <si>
    <t>legal_compliance_certification_certifying_authority_name</t>
  </si>
  <si>
    <t>duration</t>
  </si>
  <si>
    <t>legal_compliance_certification_geographic_jurisdiction</t>
  </si>
  <si>
    <t>website_shipping_weight</t>
  </si>
  <si>
    <t>website_shipping_weight_unit_of_measure</t>
  </si>
  <si>
    <t>chest_size</t>
  </si>
  <si>
    <t>chest_size_unit_of_measure</t>
  </si>
  <si>
    <t>cup_size</t>
  </si>
  <si>
    <t>neck_size</t>
  </si>
  <si>
    <t>neck_size_unit_of_measure</t>
  </si>
  <si>
    <t>size_map</t>
  </si>
  <si>
    <t>sleeve_length</t>
  </si>
  <si>
    <t>sleeve_length_unit_of_measure</t>
  </si>
  <si>
    <t>item_length_unit_of_measure</t>
  </si>
  <si>
    <t>item_length</t>
  </si>
  <si>
    <t>item_width</t>
  </si>
  <si>
    <t>item_height</t>
  </si>
  <si>
    <t>item_width_unit_of_measure</t>
  </si>
  <si>
    <t>item_height_unit_of_measure</t>
  </si>
  <si>
    <t>fulfillment_center_id</t>
  </si>
  <si>
    <t>package_height</t>
  </si>
  <si>
    <t>package_width</t>
  </si>
  <si>
    <t>package_length</t>
  </si>
  <si>
    <t>package_length_unit_of_measure</t>
  </si>
  <si>
    <t>package_weight</t>
  </si>
  <si>
    <t>package_weight_unit_of_measure</t>
  </si>
  <si>
    <t>package_height_unit_of_measure</t>
  </si>
  <si>
    <t>package_width_unit_of_measure</t>
  </si>
  <si>
    <t>regulation_type1</t>
  </si>
  <si>
    <t>regulation_type2</t>
  </si>
  <si>
    <t>regulation_type3</t>
  </si>
  <si>
    <t>regulation_type4</t>
  </si>
  <si>
    <t>regulation_type5</t>
  </si>
  <si>
    <t>regulatory_compliance_certification_value1</t>
  </si>
  <si>
    <t>regulatory_compliance_certification_value2</t>
  </si>
  <si>
    <t>regulatory_compliance_certification_value3</t>
  </si>
  <si>
    <t>regulatory_compliance_certification_value4</t>
  </si>
  <si>
    <t>regulatory_compliance_certification_value5</t>
  </si>
  <si>
    <t>cpsia_cautionary_statement</t>
  </si>
  <si>
    <t>cpsia_cautionary_description</t>
  </si>
  <si>
    <t>fabric_type</t>
  </si>
  <si>
    <t>import_designation</t>
  </si>
  <si>
    <t>item_weight_unit_of_measure</t>
  </si>
  <si>
    <t>item_weight</t>
  </si>
  <si>
    <t>country_of_origin</t>
  </si>
  <si>
    <t>batteries_required</t>
  </si>
  <si>
    <t>are_batteries_included</t>
  </si>
  <si>
    <t>battery_cell_composition</t>
  </si>
  <si>
    <t>battery_type1</t>
  </si>
  <si>
    <t>battery_type2</t>
  </si>
  <si>
    <t>battery_type3</t>
  </si>
  <si>
    <t>number_of_batteries1</t>
  </si>
  <si>
    <t>number_of_batteries2</t>
  </si>
  <si>
    <t>number_of_batteries3</t>
  </si>
  <si>
    <t>battery_weight</t>
  </si>
  <si>
    <t>battery_weight_unit_of_measure</t>
  </si>
  <si>
    <t>number_of_lithium_metal_cells</t>
  </si>
  <si>
    <t>number_of_lithium_ion_cells</t>
  </si>
  <si>
    <t>lithium_battery_packaging</t>
  </si>
  <si>
    <t>lithium_battery_energy_content</t>
  </si>
  <si>
    <t>lithium_battery_energy_content_unit_of_measure</t>
  </si>
  <si>
    <t>lithium_battery_weight</t>
  </si>
  <si>
    <t>lithium_battery_weight_unit_of_measure</t>
  </si>
  <si>
    <t>supplier_declared_dg_hz_regulation1</t>
  </si>
  <si>
    <t>supplier_declared_dg_hz_regulation2</t>
  </si>
  <si>
    <t>supplier_declared_dg_hz_regulation3</t>
  </si>
  <si>
    <t>supplier_declared_dg_hz_regulation4</t>
  </si>
  <si>
    <t>supplier_declared_dg_hz_regulation5</t>
  </si>
  <si>
    <t>hazmat_united_nations_regulatory_id</t>
  </si>
  <si>
    <t>safety_data_sheet_url</t>
  </si>
  <si>
    <t>item_volume</t>
  </si>
  <si>
    <t>legal_compliance_certification_regulatory_organization_name</t>
  </si>
  <si>
    <t>legal_compliance_certification_status</t>
  </si>
  <si>
    <t>flash_point</t>
  </si>
  <si>
    <t>legal_compliance_certification_date_of_issue</t>
  </si>
  <si>
    <t>supplier_declared_material_regulation1</t>
  </si>
  <si>
    <t>supplier_declared_material_regulation2</t>
  </si>
  <si>
    <t>supplier_declared_material_regulation3</t>
  </si>
  <si>
    <t>legal_compliance_certification_metadata</t>
  </si>
  <si>
    <t>legal_compliance_certification_value</t>
  </si>
  <si>
    <t>ghs_classification_class1</t>
  </si>
  <si>
    <t>ghs_classification_class2</t>
  </si>
  <si>
    <t>ghs_classification_class3</t>
  </si>
  <si>
    <t>california_proposition_65_compliance_type</t>
  </si>
  <si>
    <t>california_proposition_65_chemical_names1</t>
  </si>
  <si>
    <t>california_proposition_65_chemical_names2</t>
  </si>
  <si>
    <t>california_proposition_65_chemical_names3</t>
  </si>
  <si>
    <t>california_proposition_65_chemical_names4</t>
  </si>
  <si>
    <t>california_proposition_65_chemical_names5</t>
  </si>
  <si>
    <t>pesticide_marking_type1</t>
  </si>
  <si>
    <t>pesticide_marking_type2</t>
  </si>
  <si>
    <t>pesticide_marking_type3</t>
  </si>
  <si>
    <t>pesticide_marking_registration_status1</t>
  </si>
  <si>
    <t>pesticide_marking_registration_status2</t>
  </si>
  <si>
    <t>pesticide_marking_registration_status3</t>
  </si>
  <si>
    <t>pesticide_marking_certification_number1</t>
  </si>
  <si>
    <t>pesticide_marking_certification_number2</t>
  </si>
  <si>
    <t>pesticide_marking_certification_number3</t>
  </si>
  <si>
    <t>fcc_radio_frequency_emission_compliance_registration_status</t>
  </si>
  <si>
    <t>fcc_radio_frequency_emission_compliance_point_of_contact_email</t>
  </si>
  <si>
    <t>fcc_radio_frequency_emission_compliance_point_of_contact_phone_number</t>
  </si>
  <si>
    <t>fcc_radio_frequency_emission_compliance_point_of_contact_name</t>
  </si>
  <si>
    <t>fcc_radio_frequency_emission_compliance_identification_number</t>
  </si>
  <si>
    <t>fcc_radio_frequency_emission_compliance_point_of_contact_address</t>
  </si>
  <si>
    <t>list_price</t>
  </si>
  <si>
    <t>map_price</t>
  </si>
  <si>
    <t>currency</t>
  </si>
  <si>
    <t>condition_type</t>
  </si>
  <si>
    <t>condition_note</t>
  </si>
  <si>
    <t>product_tax_code</t>
  </si>
  <si>
    <t>fulfillment_latency</t>
  </si>
  <si>
    <t>product_site_launch_date</t>
  </si>
  <si>
    <t>merchant_release_date</t>
  </si>
  <si>
    <t>restock_date</t>
  </si>
  <si>
    <t>sale_price</t>
  </si>
  <si>
    <t>sale_from_date</t>
  </si>
  <si>
    <t>sale_end_date</t>
  </si>
  <si>
    <t>offering_end_date</t>
  </si>
  <si>
    <t>max_aggregate_ship_quantity</t>
  </si>
  <si>
    <t>item_package_quantity</t>
  </si>
  <si>
    <t>number_of_items</t>
  </si>
  <si>
    <t>offering_can_be_gift_messaged</t>
  </si>
  <si>
    <t>offering_can_be_giftwrapped</t>
  </si>
  <si>
    <t>is_discontinued_by_manufacturer</t>
  </si>
  <si>
    <t>max_order_quantity</t>
  </si>
  <si>
    <t>merchant_shipping_group_name</t>
  </si>
  <si>
    <t>offering_start_date</t>
  </si>
  <si>
    <t>business_price</t>
  </si>
  <si>
    <t>quantity_price_type</t>
  </si>
  <si>
    <t>quantity_lower_bound1</t>
  </si>
  <si>
    <t>quantity_price1</t>
  </si>
  <si>
    <t>quantity_lower_bound2</t>
  </si>
  <si>
    <t>quantity_price2</t>
  </si>
  <si>
    <t>quantity_lower_bound3</t>
  </si>
  <si>
    <t>quantity_price3</t>
  </si>
  <si>
    <t>quantity_lower_bound4</t>
  </si>
  <si>
    <t>quantity_price4</t>
  </si>
  <si>
    <t>quantity_lower_bound5</t>
  </si>
  <si>
    <t>quantity_price5</t>
  </si>
  <si>
    <t>progressive_discount_type</t>
  </si>
  <si>
    <t>progressive_discount_lower_bound1</t>
  </si>
  <si>
    <t>progressive_discount_value1</t>
  </si>
  <si>
    <t>progressive_discount_lower_bound2</t>
  </si>
  <si>
    <t>progressive_discount_value2</t>
  </si>
  <si>
    <t>progressive_discount_lower_bound3</t>
  </si>
  <si>
    <t>progressive_discount_value3</t>
  </si>
  <si>
    <t>national_stock_number</t>
  </si>
  <si>
    <t>unspsc_code</t>
  </si>
  <si>
    <t>pricing_action</t>
  </si>
  <si>
    <t>Parent</t>
  </si>
  <si>
    <t>裤长</t>
  </si>
  <si>
    <t>加长裤长</t>
  </si>
  <si>
    <t>臀围</t>
  </si>
  <si>
    <t>腰围</t>
  </si>
  <si>
    <t>裤口</t>
  </si>
  <si>
    <t>前裆</t>
  </si>
  <si>
    <t>后裆</t>
  </si>
  <si>
    <t>サイズ</t>
  </si>
  <si>
    <t>パンツ丈</t>
  </si>
  <si>
    <t>ズボン丈を延長</t>
  </si>
  <si>
    <t>ヒップ</t>
  </si>
  <si>
    <t>ウエストライン</t>
  </si>
  <si>
    <t>ズボンの裾</t>
  </si>
  <si>
    <t>フロントクロッチ</t>
  </si>
  <si>
    <t>バッククロッチ</t>
  </si>
  <si>
    <t>M</t>
  </si>
  <si>
    <t>L</t>
  </si>
  <si>
    <t>XL</t>
  </si>
  <si>
    <t>ヒント：個人の測定方法や計測機器の違いにより、サイズが異なる場合があります。偏差はプラスマイナス1〜3CMの正常範囲内です。</t>
  </si>
  <si>
    <t>単位:CM</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</si>
</sst>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s>
  <fonts count="50">
    <font>
      <sz val="11"/>
      <color theme="1"/>
      <name val="宋体"/>
      <charset val="134"/>
      <scheme val="minor"/>
    </font>
    <font>
      <sz val="10"/>
      <name val="Arial"/>
      <charset val="134"/>
    </font>
    <font>
      <b/>
      <sz val="11"/>
      <color rgb="FF808080"/>
      <name val="Calibri"/>
      <charset val="134"/>
    </font>
    <font>
      <b/>
      <sz val="11"/>
      <color rgb="FF000000"/>
      <name val="Calibri"/>
      <charset val="134"/>
    </font>
    <font>
      <sz val="11"/>
      <color rgb="FF000000"/>
      <name val="Calibri"/>
      <charset val="134"/>
    </font>
    <font>
      <sz val="12"/>
      <name val="宋体"/>
      <charset val="134"/>
    </font>
    <font>
      <sz val="12"/>
      <name val="MS PMincho"/>
      <charset val="134"/>
    </font>
    <font>
      <sz val="12"/>
      <name val="MS Gothic"/>
      <charset val="134"/>
    </font>
    <font>
      <sz val="10.5"/>
      <color rgb="FF333333"/>
      <name val="MS Mincho"/>
      <charset val="134"/>
    </font>
    <font>
      <sz val="10.5"/>
      <color rgb="FF333333"/>
      <name val="MS Gothic"/>
      <charset val="134"/>
    </font>
    <font>
      <b/>
      <sz val="12"/>
      <color rgb="FFFF0000"/>
      <name val="MS PMincho"/>
      <charset val="134"/>
    </font>
    <font>
      <b/>
      <sz val="12"/>
      <name val="宋体"/>
      <charset val="134"/>
    </font>
    <font>
      <b/>
      <sz val="12"/>
      <name val="MS PMincho"/>
      <charset val="134"/>
    </font>
    <font>
      <b/>
      <sz val="12"/>
      <color rgb="FFFF0000"/>
      <name val="宋体"/>
      <charset val="134"/>
    </font>
    <font>
      <sz val="8"/>
      <color indexed="8"/>
      <name val="Arial"/>
      <charset val="0"/>
    </font>
    <font>
      <i/>
      <sz val="12"/>
      <name val="MS PMincho"/>
      <charset val="134"/>
    </font>
    <font>
      <sz val="11"/>
      <name val="MS PMincho"/>
      <charset val="134"/>
    </font>
    <font>
      <sz val="12"/>
      <color theme="0"/>
      <name val="MS PMincho"/>
      <charset val="134"/>
    </font>
    <font>
      <sz val="10"/>
      <name val="MS PMincho"/>
      <charset val="134"/>
    </font>
    <font>
      <sz val="10"/>
      <name val="宋体"/>
      <charset val="134"/>
    </font>
    <font>
      <b/>
      <sz val="20"/>
      <name val="宋体"/>
      <charset val="134"/>
    </font>
    <font>
      <b/>
      <sz val="20"/>
      <name val="MS PMincho"/>
      <charset val="134"/>
    </font>
    <font>
      <sz val="20"/>
      <name val="MS PMincho"/>
      <charset val="134"/>
    </font>
    <font>
      <sz val="16"/>
      <name val="MS PMincho"/>
      <charset val="134"/>
    </font>
    <font>
      <b/>
      <sz val="12"/>
      <name val="MS Gothic"/>
      <charset val="134"/>
    </font>
    <font>
      <b/>
      <sz val="16"/>
      <name val="宋体"/>
      <charset val="134"/>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scheme val="minor"/>
    </font>
    <font>
      <sz val="11"/>
      <color indexed="8"/>
      <name val="宋体"/>
      <charset val="134"/>
    </font>
    <font>
      <sz val="11"/>
      <name val="宋体"/>
      <charset val="134"/>
    </font>
    <font>
      <b/>
      <sz val="16"/>
      <name val="MS PMincho"/>
      <charset val="134"/>
    </font>
    <font>
      <sz val="12"/>
      <name val="Arial Unicode MS"/>
      <charset val="134"/>
    </font>
  </fonts>
  <fills count="49">
    <fill>
      <patternFill patternType="none"/>
    </fill>
    <fill>
      <patternFill patternType="gray125"/>
    </fill>
    <fill>
      <patternFill patternType="solid">
        <fgColor rgb="FFFFFF00"/>
        <bgColor indexed="64"/>
      </patternFill>
    </fill>
    <fill>
      <patternFill patternType="solid">
        <fgColor rgb="FFF8A45E"/>
        <bgColor indexed="64"/>
      </patternFill>
    </fill>
    <fill>
      <patternFill patternType="solid">
        <fgColor rgb="FFFF8080"/>
        <bgColor indexed="64"/>
      </patternFill>
    </fill>
    <fill>
      <patternFill patternType="solid">
        <fgColor rgb="FF92D050"/>
        <bgColor indexed="64"/>
      </patternFill>
    </fill>
    <fill>
      <patternFill patternType="solid">
        <fgColor rgb="FFBBA680"/>
        <bgColor indexed="64"/>
      </patternFill>
    </fill>
    <fill>
      <patternFill patternType="solid">
        <fgColor rgb="FF8DB4E2"/>
        <bgColor indexed="64"/>
      </patternFill>
    </fill>
    <fill>
      <patternFill patternType="solid">
        <fgColor rgb="FFB7DEE8"/>
        <bgColor indexed="64"/>
      </patternFill>
    </fill>
    <fill>
      <patternFill patternType="solid">
        <fgColor rgb="FFCC9999"/>
        <bgColor indexed="64"/>
      </patternFill>
    </fill>
    <fill>
      <patternFill patternType="solid">
        <fgColor rgb="FFFF0000"/>
        <bgColor indexed="64"/>
      </patternFill>
    </fill>
    <fill>
      <patternFill patternType="solid">
        <fgColor rgb="FF96C8BE"/>
        <bgColor indexed="64"/>
      </patternFill>
    </fill>
    <fill>
      <patternFill patternType="solid">
        <fgColor indexed="42"/>
        <bgColor indexed="64"/>
      </patternFill>
    </fill>
    <fill>
      <patternFill patternType="solid">
        <fgColor indexed="9"/>
        <bgColor indexed="64"/>
      </patternFill>
    </fill>
    <fill>
      <patternFill patternType="solid">
        <fgColor theme="7" tint="0.6"/>
        <bgColor indexed="64"/>
      </patternFill>
    </fill>
    <fill>
      <patternFill patternType="solid">
        <fgColor theme="0"/>
        <bgColor indexed="64"/>
      </patternFill>
    </fill>
    <fill>
      <patternFill patternType="solid">
        <fgColor theme="5" tint="0.799981688894314"/>
        <bgColor indexed="64"/>
      </patternFill>
    </fill>
    <fill>
      <patternFill patternType="solid">
        <fgColor theme="8" tint="0.8"/>
        <bgColor indexed="64"/>
      </patternFill>
    </fill>
    <fill>
      <patternFill patternType="solid">
        <fgColor theme="6" tint="0.8"/>
        <bgColor indexed="64"/>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auto="1"/>
      </right>
      <top/>
      <bottom style="thin">
        <color auto="1"/>
      </bottom>
      <diagonal/>
    </border>
    <border>
      <left/>
      <right/>
      <top style="thin">
        <color auto="1"/>
      </top>
      <bottom/>
      <diagonal/>
    </border>
    <border>
      <left style="medium">
        <color auto="1"/>
      </left>
      <right style="thin">
        <color auto="1"/>
      </right>
      <top/>
      <bottom/>
      <diagonal/>
    </border>
    <border>
      <left style="thin">
        <color auto="1"/>
      </left>
      <right/>
      <top/>
      <bottom/>
      <diagonal/>
    </border>
    <border>
      <left/>
      <right style="thin">
        <color auto="1"/>
      </right>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right style="thin">
        <color auto="1"/>
      </right>
      <top style="thin">
        <color auto="1"/>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20" borderId="50"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51" applyNumberFormat="0" applyFill="0" applyAlignment="0" applyProtection="0">
      <alignment vertical="center"/>
    </xf>
    <xf numFmtId="0" fontId="32" fillId="0" borderId="51" applyNumberFormat="0" applyFill="0" applyAlignment="0" applyProtection="0">
      <alignment vertical="center"/>
    </xf>
    <xf numFmtId="0" fontId="33" fillId="0" borderId="52" applyNumberFormat="0" applyFill="0" applyAlignment="0" applyProtection="0">
      <alignment vertical="center"/>
    </xf>
    <xf numFmtId="0" fontId="33" fillId="0" borderId="0" applyNumberFormat="0" applyFill="0" applyBorder="0" applyAlignment="0" applyProtection="0">
      <alignment vertical="center"/>
    </xf>
    <xf numFmtId="0" fontId="34" fillId="21" borderId="53" applyNumberFormat="0" applyAlignment="0" applyProtection="0">
      <alignment vertical="center"/>
    </xf>
    <xf numFmtId="0" fontId="35" fillId="22" borderId="54" applyNumberFormat="0" applyAlignment="0" applyProtection="0">
      <alignment vertical="center"/>
    </xf>
    <xf numFmtId="0" fontId="36" fillId="22" borderId="53" applyNumberFormat="0" applyAlignment="0" applyProtection="0">
      <alignment vertical="center"/>
    </xf>
    <xf numFmtId="0" fontId="37" fillId="23" borderId="55" applyNumberFormat="0" applyAlignment="0" applyProtection="0">
      <alignment vertical="center"/>
    </xf>
    <xf numFmtId="0" fontId="38" fillId="0" borderId="56" applyNumberFormat="0" applyFill="0" applyAlignment="0" applyProtection="0">
      <alignment vertical="center"/>
    </xf>
    <xf numFmtId="0" fontId="39" fillId="0" borderId="57" applyNumberFormat="0" applyFill="0" applyAlignment="0" applyProtection="0">
      <alignment vertical="center"/>
    </xf>
    <xf numFmtId="0" fontId="40"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4" fillId="16"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3" fillId="19" borderId="0" applyNumberFormat="0" applyBorder="0" applyAlignment="0" applyProtection="0">
      <alignment vertical="center"/>
    </xf>
    <xf numFmtId="0" fontId="44" fillId="34" borderId="0" applyNumberFormat="0" applyBorder="0" applyAlignment="0" applyProtection="0">
      <alignment vertical="center"/>
    </xf>
    <xf numFmtId="0" fontId="44" fillId="35" borderId="0" applyNumberFormat="0" applyBorder="0" applyAlignment="0" applyProtection="0">
      <alignment vertical="center"/>
    </xf>
    <xf numFmtId="0" fontId="43" fillId="36" borderId="0" applyNumberFormat="0" applyBorder="0" applyAlignment="0" applyProtection="0">
      <alignment vertical="center"/>
    </xf>
    <xf numFmtId="0" fontId="43" fillId="37" borderId="0" applyNumberFormat="0" applyBorder="0" applyAlignment="0" applyProtection="0">
      <alignment vertical="center"/>
    </xf>
    <xf numFmtId="0" fontId="44" fillId="38" borderId="0" applyNumberFormat="0" applyBorder="0" applyAlignment="0" applyProtection="0">
      <alignment vertical="center"/>
    </xf>
    <xf numFmtId="0" fontId="44" fillId="39" borderId="0" applyNumberFormat="0" applyBorder="0" applyAlignment="0" applyProtection="0">
      <alignment vertical="center"/>
    </xf>
    <xf numFmtId="0" fontId="43" fillId="40" borderId="0" applyNumberFormat="0" applyBorder="0" applyAlignment="0" applyProtection="0">
      <alignment vertical="center"/>
    </xf>
    <xf numFmtId="0" fontId="43" fillId="41" borderId="0" applyNumberFormat="0" applyBorder="0" applyAlignment="0" applyProtection="0">
      <alignment vertical="center"/>
    </xf>
    <xf numFmtId="0" fontId="44" fillId="42" borderId="0" applyNumberFormat="0" applyBorder="0" applyAlignment="0" applyProtection="0">
      <alignment vertical="center"/>
    </xf>
    <xf numFmtId="0" fontId="44" fillId="43" borderId="0" applyNumberFormat="0" applyBorder="0" applyAlignment="0" applyProtection="0">
      <alignment vertical="center"/>
    </xf>
    <xf numFmtId="0" fontId="43" fillId="44" borderId="0" applyNumberFormat="0" applyBorder="0" applyAlignment="0" applyProtection="0">
      <alignment vertical="center"/>
    </xf>
    <xf numFmtId="0" fontId="43" fillId="45" borderId="0" applyNumberFormat="0" applyBorder="0" applyAlignment="0" applyProtection="0">
      <alignment vertical="center"/>
    </xf>
    <xf numFmtId="0" fontId="44" fillId="46" borderId="0" applyNumberFormat="0" applyBorder="0" applyAlignment="0" applyProtection="0">
      <alignment vertical="center"/>
    </xf>
    <xf numFmtId="0" fontId="44" fillId="47" borderId="0" applyNumberFormat="0" applyBorder="0" applyAlignment="0" applyProtection="0">
      <alignment vertical="center"/>
    </xf>
    <xf numFmtId="0" fontId="43" fillId="48" borderId="0" applyNumberFormat="0" applyBorder="0" applyAlignment="0" applyProtection="0">
      <alignment vertical="center"/>
    </xf>
    <xf numFmtId="0" fontId="45" fillId="0" borderId="0"/>
    <xf numFmtId="0" fontId="5" fillId="0" borderId="0"/>
    <xf numFmtId="0" fontId="46" fillId="0" borderId="0">
      <alignment vertical="center"/>
    </xf>
  </cellStyleXfs>
  <cellXfs count="222">
    <xf numFmtId="0" fontId="0" fillId="0" borderId="0" xfId="0">
      <alignment vertical="center"/>
    </xf>
    <xf numFmtId="0" fontId="1" fillId="0" borderId="0" xfId="49" applyFont="1" applyFill="1" applyAlignment="1" applyProtection="1">
      <protection locked="0"/>
    </xf>
    <xf numFmtId="0" fontId="0" fillId="2" borderId="0" xfId="0" applyFill="1">
      <alignment vertical="center"/>
    </xf>
    <xf numFmtId="49" fontId="2" fillId="3" borderId="0" xfId="49" applyNumberFormat="1" applyFont="1" applyFill="1" applyBorder="1" applyAlignment="1">
      <alignment horizontal="left" vertical="center"/>
    </xf>
    <xf numFmtId="49" fontId="3" fillId="3" borderId="0" xfId="49" applyNumberFormat="1" applyFont="1" applyFill="1" applyBorder="1" applyAlignment="1">
      <alignment horizontal="left" vertical="center"/>
    </xf>
    <xf numFmtId="2" fontId="3" fillId="3" borderId="0" xfId="49" applyNumberFormat="1" applyFont="1" applyFill="1" applyBorder="1" applyAlignment="1">
      <alignment horizontal="left" vertical="center"/>
    </xf>
    <xf numFmtId="1" fontId="3" fillId="3" borderId="0" xfId="49" applyNumberFormat="1" applyFont="1" applyFill="1" applyBorder="1" applyAlignment="1">
      <alignment horizontal="left" vertical="center"/>
    </xf>
    <xf numFmtId="49" fontId="3" fillId="2" borderId="0" xfId="49" applyNumberFormat="1" applyFont="1" applyFill="1" applyBorder="1" applyAlignment="1">
      <alignment horizontal="left" vertical="center"/>
    </xf>
    <xf numFmtId="49" fontId="3" fillId="4" borderId="0" xfId="49" applyNumberFormat="1" applyFont="1" applyFill="1" applyBorder="1" applyAlignment="1">
      <alignment horizontal="left" vertical="center"/>
    </xf>
    <xf numFmtId="1" fontId="3" fillId="4" borderId="0" xfId="49" applyNumberFormat="1" applyFont="1" applyFill="1" applyBorder="1" applyAlignment="1">
      <alignment horizontal="left" vertical="center"/>
    </xf>
    <xf numFmtId="49" fontId="3" fillId="5" borderId="0" xfId="49" applyNumberFormat="1" applyFont="1" applyFill="1" applyBorder="1" applyAlignment="1">
      <alignment horizontal="left" vertical="center"/>
    </xf>
    <xf numFmtId="14" fontId="3" fillId="5" borderId="0" xfId="49" applyNumberFormat="1" applyFont="1" applyFill="1" applyBorder="1" applyAlignment="1">
      <alignment horizontal="left" vertical="center"/>
    </xf>
    <xf numFmtId="49" fontId="3" fillId="6" borderId="0" xfId="49" applyNumberFormat="1" applyFont="1" applyFill="1" applyBorder="1" applyAlignment="1">
      <alignment horizontal="left" vertical="center"/>
    </xf>
    <xf numFmtId="2" fontId="3" fillId="7" borderId="0" xfId="49" applyNumberFormat="1" applyFont="1" applyFill="1" applyBorder="1" applyAlignment="1">
      <alignment horizontal="left" vertical="center"/>
    </xf>
    <xf numFmtId="49" fontId="3" fillId="7" borderId="0" xfId="49" applyNumberFormat="1" applyFont="1" applyFill="1" applyBorder="1" applyAlignment="1">
      <alignment horizontal="left" vertical="center"/>
    </xf>
    <xf numFmtId="49" fontId="3" fillId="8" borderId="0" xfId="49" applyNumberFormat="1" applyFont="1" applyFill="1" applyBorder="1" applyAlignment="1">
      <alignment horizontal="left" vertical="center"/>
    </xf>
    <xf numFmtId="2" fontId="3" fillId="8" borderId="0" xfId="49" applyNumberFormat="1" applyFont="1" applyFill="1" applyBorder="1" applyAlignment="1">
      <alignment horizontal="left" vertical="center"/>
    </xf>
    <xf numFmtId="49" fontId="3" fillId="9" borderId="0" xfId="49" applyNumberFormat="1" applyFont="1" applyFill="1" applyBorder="1" applyAlignment="1">
      <alignment horizontal="left" vertical="center"/>
    </xf>
    <xf numFmtId="2" fontId="3" fillId="9" borderId="0" xfId="49" applyNumberFormat="1" applyFont="1" applyFill="1" applyBorder="1" applyAlignment="1">
      <alignment horizontal="left" vertical="center"/>
    </xf>
    <xf numFmtId="1" fontId="3" fillId="9" borderId="0" xfId="49" applyNumberFormat="1" applyFont="1" applyFill="1" applyBorder="1" applyAlignment="1">
      <alignment horizontal="left" vertical="center"/>
    </xf>
    <xf numFmtId="2" fontId="3" fillId="10" borderId="0" xfId="49" applyNumberFormat="1" applyFont="1" applyFill="1" applyBorder="1" applyAlignment="1">
      <alignment horizontal="left" vertical="center"/>
    </xf>
    <xf numFmtId="49" fontId="3" fillId="10" borderId="0" xfId="49" applyNumberFormat="1" applyFont="1" applyFill="1" applyBorder="1" applyAlignment="1">
      <alignment horizontal="left" vertical="center"/>
    </xf>
    <xf numFmtId="1" fontId="3" fillId="10" borderId="0" xfId="49" applyNumberFormat="1" applyFont="1" applyFill="1" applyBorder="1" applyAlignment="1">
      <alignment horizontal="left" vertical="center"/>
    </xf>
    <xf numFmtId="14" fontId="3" fillId="10" borderId="0" xfId="49" applyNumberFormat="1" applyFont="1" applyFill="1" applyBorder="1" applyAlignment="1">
      <alignment horizontal="left" vertical="center"/>
    </xf>
    <xf numFmtId="2" fontId="3" fillId="11" borderId="0" xfId="49" applyNumberFormat="1" applyFont="1" applyFill="1" applyBorder="1" applyAlignment="1">
      <alignment horizontal="left" vertical="center"/>
    </xf>
    <xf numFmtId="49" fontId="3" fillId="11" borderId="0" xfId="49" applyNumberFormat="1" applyFont="1" applyFill="1" applyBorder="1" applyAlignment="1">
      <alignment horizontal="left" vertical="center"/>
    </xf>
    <xf numFmtId="1" fontId="3" fillId="11" borderId="0" xfId="49" applyNumberFormat="1" applyFont="1" applyFill="1" applyBorder="1" applyAlignment="1">
      <alignment horizontal="left" vertical="center"/>
    </xf>
    <xf numFmtId="49" fontId="4" fillId="3" borderId="1" xfId="49" applyNumberFormat="1" applyFont="1" applyFill="1" applyBorder="1" applyAlignment="1">
      <alignment horizontal="left" vertical="center"/>
    </xf>
    <xf numFmtId="2" fontId="4" fillId="3" borderId="1" xfId="49" applyNumberFormat="1" applyFont="1" applyFill="1" applyBorder="1" applyAlignment="1">
      <alignment horizontal="left" vertical="center"/>
    </xf>
    <xf numFmtId="1" fontId="4" fillId="3" borderId="1" xfId="49" applyNumberFormat="1" applyFont="1" applyFill="1" applyBorder="1" applyAlignment="1">
      <alignment horizontal="left" vertical="center"/>
    </xf>
    <xf numFmtId="49" fontId="4" fillId="2" borderId="1" xfId="49" applyNumberFormat="1" applyFont="1" applyFill="1" applyBorder="1" applyAlignment="1">
      <alignment horizontal="left" vertical="center"/>
    </xf>
    <xf numFmtId="49" fontId="4" fillId="4" borderId="1" xfId="49" applyNumberFormat="1" applyFont="1" applyFill="1" applyBorder="1" applyAlignment="1">
      <alignment horizontal="left" vertical="center"/>
    </xf>
    <xf numFmtId="1" fontId="4" fillId="4" borderId="1" xfId="49" applyNumberFormat="1" applyFont="1" applyFill="1" applyBorder="1" applyAlignment="1">
      <alignment horizontal="left" vertical="center"/>
    </xf>
    <xf numFmtId="49" fontId="4" fillId="5" borderId="1" xfId="49" applyNumberFormat="1" applyFont="1" applyFill="1" applyBorder="1" applyAlignment="1">
      <alignment horizontal="left" vertical="center"/>
    </xf>
    <xf numFmtId="14" fontId="4" fillId="5" borderId="1" xfId="49" applyNumberFormat="1" applyFont="1" applyFill="1" applyBorder="1" applyAlignment="1">
      <alignment horizontal="left" vertical="center"/>
    </xf>
    <xf numFmtId="49" fontId="4" fillId="6" borderId="1" xfId="49" applyNumberFormat="1" applyFont="1" applyFill="1" applyBorder="1" applyAlignment="1">
      <alignment horizontal="left" vertical="center"/>
    </xf>
    <xf numFmtId="2" fontId="4" fillId="7" borderId="1" xfId="49" applyNumberFormat="1" applyFont="1" applyFill="1" applyBorder="1" applyAlignment="1">
      <alignment horizontal="left" vertical="center"/>
    </xf>
    <xf numFmtId="49" fontId="4" fillId="7" borderId="1" xfId="49" applyNumberFormat="1" applyFont="1" applyFill="1" applyBorder="1" applyAlignment="1">
      <alignment horizontal="left" vertical="center"/>
    </xf>
    <xf numFmtId="49" fontId="4" fillId="8" borderId="1" xfId="49" applyNumberFormat="1" applyFont="1" applyFill="1" applyBorder="1" applyAlignment="1">
      <alignment horizontal="left" vertical="center"/>
    </xf>
    <xf numFmtId="2" fontId="4" fillId="8" borderId="1" xfId="49" applyNumberFormat="1" applyFont="1" applyFill="1" applyBorder="1" applyAlignment="1">
      <alignment horizontal="left" vertical="center"/>
    </xf>
    <xf numFmtId="49" fontId="4" fillId="9" borderId="1" xfId="49" applyNumberFormat="1" applyFont="1" applyFill="1" applyBorder="1" applyAlignment="1">
      <alignment horizontal="left" vertical="center"/>
    </xf>
    <xf numFmtId="2" fontId="4" fillId="9" borderId="1" xfId="49" applyNumberFormat="1" applyFont="1" applyFill="1" applyBorder="1" applyAlignment="1">
      <alignment horizontal="left" vertical="center"/>
    </xf>
    <xf numFmtId="1" fontId="4" fillId="9" borderId="1" xfId="49" applyNumberFormat="1" applyFont="1" applyFill="1" applyBorder="1" applyAlignment="1">
      <alignment horizontal="left" vertical="center"/>
    </xf>
    <xf numFmtId="2" fontId="4" fillId="10" borderId="1" xfId="49" applyNumberFormat="1" applyFont="1" applyFill="1" applyBorder="1" applyAlignment="1">
      <alignment horizontal="left" vertical="center"/>
    </xf>
    <xf numFmtId="49" fontId="4" fillId="10" borderId="1" xfId="49" applyNumberFormat="1" applyFont="1" applyFill="1" applyBorder="1" applyAlignment="1">
      <alignment horizontal="left" vertical="center"/>
    </xf>
    <xf numFmtId="1" fontId="4" fillId="10" borderId="1" xfId="49" applyNumberFormat="1" applyFont="1" applyFill="1" applyBorder="1" applyAlignment="1">
      <alignment horizontal="left" vertical="center"/>
    </xf>
    <xf numFmtId="14" fontId="4" fillId="10" borderId="1" xfId="49" applyNumberFormat="1" applyFont="1" applyFill="1" applyBorder="1" applyAlignment="1">
      <alignment horizontal="left" vertical="center"/>
    </xf>
    <xf numFmtId="2" fontId="4" fillId="11" borderId="1" xfId="49" applyNumberFormat="1" applyFont="1" applyFill="1" applyBorder="1" applyAlignment="1">
      <alignment horizontal="left" vertical="center"/>
    </xf>
    <xf numFmtId="49" fontId="4" fillId="11" borderId="1" xfId="49" applyNumberFormat="1" applyFont="1" applyFill="1" applyBorder="1" applyAlignment="1">
      <alignment horizontal="left" vertical="center"/>
    </xf>
    <xf numFmtId="1" fontId="4" fillId="11" borderId="1" xfId="49" applyNumberFormat="1" applyFont="1" applyFill="1" applyBorder="1" applyAlignment="1">
      <alignment horizontal="left" vertical="center"/>
    </xf>
    <xf numFmtId="2" fontId="4" fillId="2" borderId="1" xfId="49" applyNumberFormat="1" applyFont="1" applyFill="1" applyBorder="1" applyAlignment="1">
      <alignment horizontal="left" vertical="center"/>
    </xf>
    <xf numFmtId="1" fontId="4" fillId="2" borderId="1" xfId="49" applyNumberFormat="1" applyFont="1" applyFill="1" applyBorder="1" applyAlignment="1">
      <alignment horizontal="left" vertical="center"/>
    </xf>
    <xf numFmtId="0" fontId="5" fillId="0" borderId="0" xfId="50" applyFill="1" applyBorder="1" applyAlignment="1"/>
    <xf numFmtId="0" fontId="6" fillId="12" borderId="2" xfId="50" applyFont="1" applyFill="1" applyBorder="1" applyAlignment="1">
      <alignment horizontal="center"/>
    </xf>
    <xf numFmtId="0" fontId="6" fillId="12" borderId="0" xfId="50" applyFont="1" applyFill="1" applyBorder="1" applyAlignment="1">
      <alignment horizontal="center"/>
    </xf>
    <xf numFmtId="49" fontId="6" fillId="13" borderId="0" xfId="50" applyNumberFormat="1" applyFont="1" applyFill="1" applyBorder="1" applyAlignment="1">
      <alignment horizontal="center"/>
    </xf>
    <xf numFmtId="49" fontId="7" fillId="13" borderId="0" xfId="50" applyNumberFormat="1" applyFont="1" applyFill="1" applyBorder="1" applyAlignment="1">
      <alignment horizontal="center"/>
    </xf>
    <xf numFmtId="0" fontId="6" fillId="13" borderId="0" xfId="50" applyFont="1" applyFill="1" applyBorder="1" applyAlignment="1">
      <alignment horizontal="center"/>
    </xf>
    <xf numFmtId="0" fontId="5" fillId="0" borderId="0" xfId="50" applyFont="1" applyFill="1" applyBorder="1" applyAlignment="1"/>
    <xf numFmtId="0" fontId="8" fillId="0" borderId="0" xfId="50" applyFont="1" applyFill="1" applyBorder="1" applyAlignment="1"/>
    <xf numFmtId="0" fontId="9" fillId="0" borderId="0" xfId="50" applyFont="1" applyFill="1" applyBorder="1" applyAlignment="1"/>
    <xf numFmtId="49" fontId="6" fillId="13" borderId="0" xfId="50" applyNumberFormat="1" applyFont="1" applyFill="1" applyBorder="1" applyAlignment="1">
      <alignment horizontal="center" wrapText="1"/>
    </xf>
    <xf numFmtId="49" fontId="5" fillId="13" borderId="0" xfId="50" applyNumberFormat="1" applyFont="1" applyFill="1" applyBorder="1" applyAlignment="1">
      <alignment horizontal="center"/>
    </xf>
    <xf numFmtId="0" fontId="5" fillId="0" borderId="0" xfId="0" applyFont="1" applyFill="1" applyBorder="1" applyAlignment="1" applyProtection="1">
      <alignment vertical="center"/>
    </xf>
    <xf numFmtId="0" fontId="6" fillId="13" borderId="0" xfId="0" applyFont="1" applyFill="1" applyBorder="1" applyAlignment="1" applyProtection="1">
      <alignment vertical="center"/>
    </xf>
    <xf numFmtId="0" fontId="6" fillId="13" borderId="0" xfId="0" applyFont="1" applyFill="1" applyBorder="1" applyAlignment="1" applyProtection="1"/>
    <xf numFmtId="0" fontId="5" fillId="12" borderId="1" xfId="0" applyFont="1" applyFill="1" applyBorder="1" applyAlignment="1" applyProtection="1">
      <alignment horizontal="center" vertical="center"/>
    </xf>
    <xf numFmtId="0" fontId="6" fillId="2" borderId="3" xfId="0" applyFont="1" applyFill="1" applyBorder="1" applyAlignment="1" applyProtection="1">
      <alignment horizontal="center" vertical="center"/>
      <protection locked="0"/>
    </xf>
    <xf numFmtId="0" fontId="6" fillId="2" borderId="4" xfId="0" applyFont="1" applyFill="1" applyBorder="1" applyAlignment="1" applyProtection="1">
      <alignment horizontal="center" vertical="center"/>
      <protection locked="0"/>
    </xf>
    <xf numFmtId="0" fontId="6" fillId="12" borderId="2" xfId="0" applyFont="1" applyFill="1" applyBorder="1" applyAlignment="1" applyProtection="1">
      <alignment horizontal="center" vertical="center"/>
    </xf>
    <xf numFmtId="0" fontId="6" fillId="2" borderId="5" xfId="0" applyFont="1" applyFill="1" applyBorder="1" applyAlignment="1" applyProtection="1">
      <alignment horizontal="center" vertical="center" wrapText="1"/>
      <protection locked="0"/>
    </xf>
    <xf numFmtId="0" fontId="6" fillId="12" borderId="1" xfId="0" applyFont="1" applyFill="1" applyBorder="1" applyAlignment="1" applyProtection="1">
      <alignment horizontal="center" vertical="center"/>
    </xf>
    <xf numFmtId="0" fontId="5" fillId="2" borderId="3" xfId="0" applyFont="1" applyFill="1" applyBorder="1" applyAlignment="1" applyProtection="1">
      <alignment vertical="center" wrapText="1"/>
      <protection locked="0"/>
    </xf>
    <xf numFmtId="0" fontId="6" fillId="2" borderId="6" xfId="0" applyFont="1" applyFill="1" applyBorder="1" applyAlignment="1" applyProtection="1">
      <alignment vertical="center"/>
      <protection locked="0"/>
    </xf>
    <xf numFmtId="0" fontId="6" fillId="2" borderId="4" xfId="0" applyFont="1" applyFill="1" applyBorder="1" applyAlignment="1" applyProtection="1">
      <alignment vertical="center"/>
      <protection locked="0"/>
    </xf>
    <xf numFmtId="0" fontId="10" fillId="13" borderId="0" xfId="0" applyFont="1" applyFill="1" applyBorder="1" applyAlignment="1" applyProtection="1">
      <alignment horizontal="center" vertical="center"/>
    </xf>
    <xf numFmtId="0" fontId="11" fillId="13" borderId="7" xfId="0" applyFont="1" applyFill="1" applyBorder="1" applyAlignment="1" applyProtection="1">
      <alignment horizontal="left" vertical="center"/>
    </xf>
    <xf numFmtId="0" fontId="6" fillId="13" borderId="8" xfId="0" applyFont="1" applyFill="1" applyBorder="1" applyAlignment="1" applyProtection="1">
      <alignment horizontal="center" vertical="center"/>
    </xf>
    <xf numFmtId="0" fontId="6" fillId="13" borderId="9" xfId="0" applyFont="1" applyFill="1" applyBorder="1" applyAlignment="1" applyProtection="1">
      <alignment horizontal="center" vertical="center"/>
    </xf>
    <xf numFmtId="0" fontId="6" fillId="13" borderId="7" xfId="0" applyFont="1" applyFill="1" applyBorder="1" applyAlignment="1" applyProtection="1">
      <alignment vertical="center"/>
    </xf>
    <xf numFmtId="0" fontId="6" fillId="13" borderId="10" xfId="0" applyFont="1" applyFill="1" applyBorder="1" applyAlignment="1" applyProtection="1">
      <alignment vertical="center"/>
    </xf>
    <xf numFmtId="0" fontId="6" fillId="2" borderId="3" xfId="0" applyFont="1" applyFill="1" applyBorder="1" applyAlignment="1" applyProtection="1">
      <alignment vertical="center"/>
      <protection locked="0"/>
    </xf>
    <xf numFmtId="0" fontId="6" fillId="2" borderId="6" xfId="0" applyFont="1" applyFill="1" applyBorder="1" applyAlignment="1" applyProtection="1">
      <alignment vertical="center" wrapText="1"/>
      <protection locked="0"/>
    </xf>
    <xf numFmtId="0" fontId="6" fillId="2" borderId="6" xfId="0" applyFont="1" applyFill="1" applyBorder="1" applyAlignment="1" applyProtection="1">
      <alignment horizontal="left" vertical="center" wrapText="1"/>
      <protection locked="0"/>
    </xf>
    <xf numFmtId="0" fontId="6" fillId="2" borderId="4" xfId="0" applyFont="1" applyFill="1" applyBorder="1" applyAlignment="1" applyProtection="1">
      <alignment horizontal="left" vertical="center" wrapText="1"/>
      <protection locked="0"/>
    </xf>
    <xf numFmtId="0" fontId="12" fillId="13" borderId="0" xfId="0" applyFont="1" applyFill="1" applyBorder="1" applyAlignment="1" applyProtection="1">
      <alignment horizontal="center" vertical="center"/>
    </xf>
    <xf numFmtId="0" fontId="11" fillId="13" borderId="11" xfId="0" applyFont="1" applyFill="1" applyBorder="1" applyAlignment="1" applyProtection="1">
      <alignment horizontal="left" vertical="center"/>
    </xf>
    <xf numFmtId="0" fontId="6" fillId="13" borderId="1" xfId="0" applyFont="1" applyFill="1" applyBorder="1" applyAlignment="1" applyProtection="1">
      <alignment horizontal="center" vertical="center"/>
    </xf>
    <xf numFmtId="0" fontId="6" fillId="13" borderId="3" xfId="0" applyFont="1" applyFill="1" applyBorder="1" applyAlignment="1" applyProtection="1">
      <alignment horizontal="center" vertical="center"/>
    </xf>
    <xf numFmtId="0" fontId="5" fillId="13" borderId="11" xfId="0" applyFont="1" applyFill="1" applyBorder="1" applyAlignment="1" applyProtection="1">
      <alignment vertical="center"/>
    </xf>
    <xf numFmtId="0" fontId="6" fillId="13" borderId="12" xfId="0" applyFont="1" applyFill="1" applyBorder="1" applyAlignment="1" applyProtection="1">
      <alignment vertical="center"/>
    </xf>
    <xf numFmtId="0" fontId="6" fillId="2" borderId="1" xfId="0" applyFont="1" applyFill="1" applyBorder="1" applyAlignment="1" applyProtection="1">
      <alignment horizontal="center" vertical="center"/>
      <protection locked="0"/>
    </xf>
    <xf numFmtId="0" fontId="13" fillId="13" borderId="0" xfId="0" applyFont="1" applyFill="1" applyBorder="1" applyAlignment="1" applyProtection="1">
      <alignment vertical="center"/>
    </xf>
    <xf numFmtId="0" fontId="5" fillId="14" borderId="1" xfId="0" applyFont="1" applyFill="1" applyBorder="1" applyAlignment="1" applyProtection="1">
      <alignment horizontal="center" vertical="center"/>
    </xf>
    <xf numFmtId="0" fontId="6" fillId="14" borderId="1" xfId="0" applyFont="1" applyFill="1" applyBorder="1" applyAlignment="1" applyProtection="1">
      <alignment horizontal="center" vertical="center"/>
    </xf>
    <xf numFmtId="0" fontId="6" fillId="15" borderId="0" xfId="0" applyFont="1" applyFill="1" applyBorder="1" applyAlignment="1" applyProtection="1">
      <alignment horizontal="center" vertical="center"/>
    </xf>
    <xf numFmtId="49" fontId="6" fillId="15" borderId="0" xfId="0" applyNumberFormat="1" applyFont="1" applyFill="1" applyBorder="1" applyAlignment="1" applyProtection="1">
      <alignment horizontal="center" vertical="center"/>
    </xf>
    <xf numFmtId="0" fontId="6" fillId="13" borderId="0" xfId="0" applyFont="1" applyFill="1" applyBorder="1" applyAlignment="1" applyProtection="1">
      <alignment horizontal="center" vertical="center"/>
    </xf>
    <xf numFmtId="0" fontId="11" fillId="13" borderId="13" xfId="0" applyFont="1" applyFill="1" applyBorder="1" applyAlignment="1" applyProtection="1">
      <alignment horizontal="left" vertical="center"/>
    </xf>
    <xf numFmtId="0" fontId="6" fillId="13" borderId="2" xfId="0" applyFont="1" applyFill="1" applyBorder="1" applyAlignment="1" applyProtection="1">
      <alignment horizontal="center" vertical="center"/>
    </xf>
    <xf numFmtId="0" fontId="6" fillId="13" borderId="5" xfId="0" applyFont="1" applyFill="1" applyBorder="1" applyAlignment="1" applyProtection="1">
      <alignment horizontal="center" vertical="center"/>
    </xf>
    <xf numFmtId="0" fontId="6" fillId="13" borderId="14" xfId="0" applyFont="1" applyFill="1" applyBorder="1" applyAlignment="1" applyProtection="1">
      <alignment vertical="center"/>
    </xf>
    <xf numFmtId="0" fontId="6" fillId="13" borderId="15" xfId="0" applyFont="1" applyFill="1" applyBorder="1" applyAlignment="1" applyProtection="1">
      <alignment vertical="center"/>
    </xf>
    <xf numFmtId="0" fontId="6" fillId="13" borderId="0" xfId="0" applyFont="1" applyFill="1" applyBorder="1" applyAlignment="1" applyProtection="1">
      <alignment horizontal="center"/>
    </xf>
    <xf numFmtId="0" fontId="14" fillId="0" borderId="0" xfId="0" applyFont="1" applyFill="1" applyBorder="1" applyAlignment="1" applyProtection="1">
      <alignment horizontal="center" vertical="justify"/>
    </xf>
    <xf numFmtId="0" fontId="6" fillId="12" borderId="2" xfId="0" applyFont="1" applyFill="1" applyBorder="1" applyAlignment="1" applyProtection="1"/>
    <xf numFmtId="0" fontId="6" fillId="12" borderId="3" xfId="0" applyFont="1" applyFill="1" applyBorder="1" applyAlignment="1" applyProtection="1"/>
    <xf numFmtId="0" fontId="6" fillId="12" borderId="6" xfId="0" applyFont="1" applyFill="1" applyBorder="1" applyAlignment="1" applyProtection="1"/>
    <xf numFmtId="0" fontId="6" fillId="12" borderId="4" xfId="0" applyFont="1" applyFill="1" applyBorder="1" applyAlignment="1" applyProtection="1"/>
    <xf numFmtId="0" fontId="5" fillId="12" borderId="2" xfId="0" applyFont="1" applyFill="1" applyBorder="1" applyAlignment="1" applyProtection="1">
      <alignment horizontal="center" vertical="center"/>
    </xf>
    <xf numFmtId="0" fontId="5" fillId="12" borderId="16" xfId="0" applyFont="1" applyFill="1" applyBorder="1" applyAlignment="1" applyProtection="1">
      <alignment horizontal="center" vertical="center"/>
    </xf>
    <xf numFmtId="0" fontId="6" fillId="12" borderId="17" xfId="0" applyFont="1" applyFill="1" applyBorder="1" applyAlignment="1" applyProtection="1">
      <alignment horizontal="center" vertical="center"/>
    </xf>
    <xf numFmtId="0" fontId="6" fillId="12" borderId="0" xfId="0" applyFont="1" applyFill="1" applyBorder="1" applyAlignment="1" applyProtection="1">
      <alignment horizontal="center" vertical="center"/>
    </xf>
    <xf numFmtId="0" fontId="6" fillId="12" borderId="18" xfId="0" applyFont="1" applyFill="1" applyBorder="1" applyAlignment="1" applyProtection="1">
      <alignment horizontal="center" vertical="center"/>
    </xf>
    <xf numFmtId="0" fontId="7" fillId="12" borderId="2" xfId="0" applyFont="1" applyFill="1" applyBorder="1" applyAlignment="1" applyProtection="1">
      <alignment horizontal="center"/>
    </xf>
    <xf numFmtId="0" fontId="5" fillId="12" borderId="2" xfId="0" applyFont="1" applyFill="1" applyBorder="1" applyAlignment="1" applyProtection="1">
      <alignment horizontal="center"/>
    </xf>
    <xf numFmtId="0" fontId="6" fillId="12" borderId="2" xfId="0" applyFont="1" applyFill="1" applyBorder="1" applyAlignment="1" applyProtection="1">
      <alignment horizontal="center"/>
    </xf>
    <xf numFmtId="0" fontId="6" fillId="12" borderId="19" xfId="0" applyFont="1" applyFill="1" applyBorder="1" applyAlignment="1" applyProtection="1">
      <alignment horizontal="center" vertical="center"/>
    </xf>
    <xf numFmtId="0" fontId="6" fillId="12" borderId="19" xfId="0" applyFont="1" applyFill="1" applyBorder="1" applyAlignment="1" applyProtection="1"/>
    <xf numFmtId="0" fontId="6" fillId="12" borderId="20" xfId="0" applyFont="1" applyFill="1" applyBorder="1" applyAlignment="1" applyProtection="1">
      <alignment horizontal="center" vertical="center"/>
    </xf>
    <xf numFmtId="0" fontId="6" fillId="12" borderId="21" xfId="0" applyFont="1" applyFill="1" applyBorder="1" applyAlignment="1" applyProtection="1">
      <alignment horizontal="center" vertical="center"/>
    </xf>
    <xf numFmtId="0" fontId="6" fillId="12" borderId="22" xfId="0" applyFont="1" applyFill="1" applyBorder="1" applyAlignment="1" applyProtection="1">
      <alignment horizontal="center" vertical="center"/>
    </xf>
    <xf numFmtId="0" fontId="6" fillId="12" borderId="23" xfId="0" applyFont="1" applyFill="1" applyBorder="1" applyAlignment="1" applyProtection="1">
      <alignment horizontal="center" vertical="center"/>
    </xf>
    <xf numFmtId="0" fontId="6" fillId="12" borderId="0" xfId="0" applyFont="1" applyFill="1" applyBorder="1" applyAlignment="1" applyProtection="1">
      <alignment horizontal="center"/>
    </xf>
    <xf numFmtId="0" fontId="6" fillId="13" borderId="24" xfId="0" applyFont="1" applyFill="1" applyBorder="1" applyAlignment="1" applyProtection="1"/>
    <xf numFmtId="0" fontId="6" fillId="13" borderId="24" xfId="0" applyFont="1" applyFill="1" applyBorder="1" applyAlignment="1" applyProtection="1">
      <alignment horizontal="center" vertical="center"/>
    </xf>
    <xf numFmtId="0" fontId="15" fillId="13" borderId="0" xfId="0" applyFont="1" applyFill="1" applyBorder="1" applyAlignment="1" applyProtection="1">
      <alignment horizontal="center"/>
    </xf>
    <xf numFmtId="0" fontId="16" fillId="12" borderId="25" xfId="0" applyFont="1" applyFill="1" applyBorder="1" applyAlignment="1" applyProtection="1">
      <alignment horizontal="center" vertical="center"/>
    </xf>
    <xf numFmtId="0" fontId="6" fillId="13" borderId="26" xfId="0" applyFont="1" applyFill="1" applyBorder="1" applyAlignment="1" applyProtection="1">
      <alignment horizontal="left" vertical="center"/>
      <protection locked="0"/>
    </xf>
    <xf numFmtId="0" fontId="6" fillId="13" borderId="0" xfId="0" applyFont="1" applyFill="1" applyBorder="1" applyAlignment="1" applyProtection="1">
      <alignment horizontal="left" vertical="center"/>
      <protection locked="0"/>
    </xf>
    <xf numFmtId="0" fontId="6" fillId="13" borderId="27" xfId="0" applyFont="1" applyFill="1" applyBorder="1" applyAlignment="1" applyProtection="1">
      <alignment horizontal="left" vertical="center"/>
      <protection locked="0"/>
    </xf>
    <xf numFmtId="0" fontId="6" fillId="12" borderId="28" xfId="0" applyFont="1" applyFill="1" applyBorder="1" applyAlignment="1" applyProtection="1">
      <alignment horizontal="center" vertical="center"/>
    </xf>
    <xf numFmtId="0" fontId="6" fillId="13" borderId="0" xfId="0" applyFont="1" applyFill="1" applyBorder="1" applyAlignment="1" applyProtection="1">
      <alignment horizontal="center"/>
      <protection locked="0"/>
    </xf>
    <xf numFmtId="0" fontId="17" fillId="13" borderId="0" xfId="0" applyFont="1" applyFill="1" applyBorder="1" applyAlignment="1" applyProtection="1">
      <alignment horizontal="center" vertical="center"/>
    </xf>
    <xf numFmtId="0" fontId="16" fillId="12" borderId="29" xfId="0" applyFont="1" applyFill="1" applyBorder="1" applyAlignment="1" applyProtection="1">
      <alignment horizontal="center" vertical="center"/>
    </xf>
    <xf numFmtId="0" fontId="6" fillId="13" borderId="30" xfId="0" applyFont="1" applyFill="1" applyBorder="1" applyAlignment="1" applyProtection="1">
      <alignment horizontal="left" vertical="center"/>
      <protection locked="0"/>
    </xf>
    <xf numFmtId="0" fontId="6" fillId="13" borderId="31" xfId="0" applyFont="1" applyFill="1" applyBorder="1" applyAlignment="1" applyProtection="1">
      <alignment horizontal="left" vertical="center"/>
      <protection locked="0"/>
    </xf>
    <xf numFmtId="0" fontId="6" fillId="13" borderId="32" xfId="0" applyFont="1" applyFill="1" applyBorder="1" applyAlignment="1" applyProtection="1">
      <alignment horizontal="left" vertical="center"/>
      <protection locked="0"/>
    </xf>
    <xf numFmtId="0" fontId="6" fillId="12" borderId="33" xfId="0" applyFont="1" applyFill="1" applyBorder="1" applyAlignment="1" applyProtection="1">
      <alignment horizontal="center" vertical="center"/>
    </xf>
    <xf numFmtId="0" fontId="18" fillId="12" borderId="13" xfId="0" applyFont="1" applyFill="1" applyBorder="1" applyAlignment="1" applyProtection="1">
      <alignment horizontal="center" vertical="center"/>
    </xf>
    <xf numFmtId="0" fontId="18" fillId="12" borderId="29" xfId="0" applyFont="1" applyFill="1" applyBorder="1" applyAlignment="1" applyProtection="1">
      <alignment horizontal="center" vertical="center"/>
    </xf>
    <xf numFmtId="0" fontId="6" fillId="13" borderId="5" xfId="0" applyFont="1" applyFill="1" applyBorder="1" applyAlignment="1" applyProtection="1">
      <alignment horizontal="left" vertical="center"/>
      <protection locked="0"/>
    </xf>
    <xf numFmtId="0" fontId="6" fillId="13" borderId="24" xfId="0" applyFont="1" applyFill="1" applyBorder="1" applyAlignment="1" applyProtection="1">
      <alignment horizontal="left" vertical="center"/>
      <protection locked="0"/>
    </xf>
    <xf numFmtId="0" fontId="6" fillId="13" borderId="34" xfId="0" applyFont="1" applyFill="1" applyBorder="1" applyAlignment="1" applyProtection="1">
      <alignment horizontal="left" vertical="center"/>
      <protection locked="0"/>
    </xf>
    <xf numFmtId="0" fontId="18" fillId="12" borderId="13" xfId="0" applyFont="1" applyFill="1" applyBorder="1" applyAlignment="1" applyProtection="1">
      <alignment horizontal="left" vertical="center"/>
    </xf>
    <xf numFmtId="0" fontId="18" fillId="12" borderId="29" xfId="0" applyFont="1" applyFill="1" applyBorder="1" applyAlignment="1" applyProtection="1">
      <alignment horizontal="left" vertical="center"/>
    </xf>
    <xf numFmtId="0" fontId="7" fillId="13" borderId="0" xfId="0" applyFont="1" applyFill="1" applyBorder="1" applyAlignment="1" applyProtection="1">
      <alignment horizontal="center"/>
      <protection locked="0"/>
    </xf>
    <xf numFmtId="0" fontId="19" fillId="12" borderId="13" xfId="0" applyFont="1" applyFill="1" applyBorder="1" applyAlignment="1" applyProtection="1">
      <alignment horizontal="center" vertical="center"/>
    </xf>
    <xf numFmtId="0" fontId="18" fillId="12" borderId="35" xfId="0" applyFont="1" applyFill="1" applyBorder="1" applyAlignment="1" applyProtection="1">
      <alignment horizontal="center" vertical="center"/>
    </xf>
    <xf numFmtId="0" fontId="6" fillId="13" borderId="36" xfId="0" applyFont="1" applyFill="1" applyBorder="1" applyAlignment="1" applyProtection="1">
      <alignment horizontal="left" vertical="center"/>
      <protection locked="0"/>
    </xf>
    <xf numFmtId="0" fontId="6" fillId="13" borderId="21" xfId="0" applyFont="1" applyFill="1" applyBorder="1" applyAlignment="1" applyProtection="1">
      <alignment horizontal="left" vertical="center"/>
      <protection locked="0"/>
    </xf>
    <xf numFmtId="0" fontId="6" fillId="13" borderId="37" xfId="0" applyFont="1" applyFill="1" applyBorder="1" applyAlignment="1" applyProtection="1">
      <alignment horizontal="left" vertical="center"/>
      <protection locked="0"/>
    </xf>
    <xf numFmtId="0" fontId="6" fillId="12" borderId="38" xfId="0" applyFont="1" applyFill="1" applyBorder="1" applyAlignment="1" applyProtection="1">
      <alignment horizontal="center" vertical="center"/>
    </xf>
    <xf numFmtId="49" fontId="6" fillId="13" borderId="0" xfId="0" applyNumberFormat="1" applyFont="1" applyFill="1" applyBorder="1" applyAlignment="1" applyProtection="1">
      <alignment horizontal="center"/>
      <protection locked="0"/>
    </xf>
    <xf numFmtId="0" fontId="13" fillId="12" borderId="16" xfId="0" applyFont="1" applyFill="1" applyBorder="1" applyAlignment="1" applyProtection="1">
      <alignment horizontal="center" vertical="center"/>
    </xf>
    <xf numFmtId="0" fontId="10" fillId="12" borderId="17" xfId="0" applyFont="1" applyFill="1" applyBorder="1" applyAlignment="1" applyProtection="1">
      <alignment horizontal="center" vertical="center"/>
    </xf>
    <xf numFmtId="0" fontId="10" fillId="12" borderId="18" xfId="0" applyFont="1" applyFill="1" applyBorder="1" applyAlignment="1" applyProtection="1">
      <alignment horizontal="center" vertical="center"/>
    </xf>
    <xf numFmtId="0" fontId="10" fillId="12" borderId="39" xfId="0" applyFont="1" applyFill="1" applyBorder="1" applyAlignment="1" applyProtection="1">
      <alignment horizontal="center" vertical="center"/>
    </xf>
    <xf numFmtId="0" fontId="10" fillId="12" borderId="31" xfId="0" applyFont="1" applyFill="1" applyBorder="1" applyAlignment="1" applyProtection="1">
      <alignment horizontal="center" vertical="center"/>
    </xf>
    <xf numFmtId="0" fontId="10" fillId="12" borderId="23" xfId="0" applyFont="1" applyFill="1" applyBorder="1" applyAlignment="1" applyProtection="1">
      <alignment horizontal="center" vertical="center"/>
    </xf>
    <xf numFmtId="0" fontId="5" fillId="13" borderId="40" xfId="0" applyFont="1" applyFill="1" applyBorder="1" applyAlignment="1" applyProtection="1">
      <alignment horizontal="left" vertical="top" wrapText="1"/>
      <protection locked="0"/>
    </xf>
    <xf numFmtId="0" fontId="6" fillId="13" borderId="24" xfId="0" applyFont="1" applyFill="1" applyBorder="1" applyAlignment="1" applyProtection="1">
      <alignment horizontal="left" vertical="top"/>
      <protection locked="0"/>
    </xf>
    <xf numFmtId="0" fontId="6" fillId="13" borderId="41" xfId="0" applyFont="1" applyFill="1" applyBorder="1" applyAlignment="1" applyProtection="1">
      <alignment horizontal="left" vertical="top"/>
      <protection locked="0"/>
    </xf>
    <xf numFmtId="0" fontId="6" fillId="13" borderId="42" xfId="0" applyFont="1" applyFill="1" applyBorder="1" applyAlignment="1" applyProtection="1">
      <alignment horizontal="left" vertical="top"/>
      <protection locked="0"/>
    </xf>
    <xf numFmtId="0" fontId="6" fillId="13" borderId="0" xfId="0" applyFont="1" applyFill="1" applyBorder="1" applyAlignment="1" applyProtection="1">
      <alignment horizontal="left" vertical="top"/>
      <protection locked="0"/>
    </xf>
    <xf numFmtId="0" fontId="6" fillId="13" borderId="43" xfId="0" applyFont="1" applyFill="1" applyBorder="1" applyAlignment="1" applyProtection="1">
      <alignment horizontal="left" vertical="top"/>
      <protection locked="0"/>
    </xf>
    <xf numFmtId="0" fontId="5" fillId="0" borderId="0" xfId="0" applyFont="1" applyFill="1" applyBorder="1" applyAlignment="1" applyProtection="1">
      <protection locked="0"/>
    </xf>
    <xf numFmtId="0" fontId="6" fillId="13" borderId="20" xfId="0" applyFont="1" applyFill="1" applyBorder="1" applyAlignment="1" applyProtection="1">
      <alignment horizontal="left" vertical="top"/>
      <protection locked="0"/>
    </xf>
    <xf numFmtId="0" fontId="6" fillId="13" borderId="21" xfId="0" applyFont="1" applyFill="1" applyBorder="1" applyAlignment="1" applyProtection="1">
      <alignment horizontal="left" vertical="top"/>
      <protection locked="0"/>
    </xf>
    <xf numFmtId="0" fontId="6" fillId="13" borderId="22" xfId="0" applyFont="1" applyFill="1" applyBorder="1" applyAlignment="1" applyProtection="1">
      <alignment horizontal="left" vertical="top"/>
      <protection locked="0"/>
    </xf>
    <xf numFmtId="0" fontId="20" fillId="16" borderId="44" xfId="0" applyFont="1" applyFill="1" applyBorder="1" applyAlignment="1" applyProtection="1">
      <alignment horizontal="center" vertical="center" wrapText="1"/>
    </xf>
    <xf numFmtId="0" fontId="21" fillId="16" borderId="45" xfId="0" applyFont="1" applyFill="1" applyBorder="1" applyAlignment="1" applyProtection="1">
      <alignment horizontal="center" vertical="center" wrapText="1"/>
    </xf>
    <xf numFmtId="0" fontId="21" fillId="16" borderId="46" xfId="0" applyFont="1" applyFill="1" applyBorder="1" applyAlignment="1" applyProtection="1">
      <alignment horizontal="center" vertical="center" wrapText="1"/>
    </xf>
    <xf numFmtId="0" fontId="5" fillId="0" borderId="0" xfId="0" applyFont="1" applyFill="1" applyBorder="1" applyAlignment="1"/>
    <xf numFmtId="0" fontId="20" fillId="14" borderId="19" xfId="0" applyFont="1" applyFill="1" applyBorder="1" applyAlignment="1" applyProtection="1">
      <alignment horizontal="center" vertical="center" wrapText="1"/>
    </xf>
    <xf numFmtId="0" fontId="21" fillId="14" borderId="19" xfId="0" applyFont="1" applyFill="1" applyBorder="1" applyAlignment="1" applyProtection="1">
      <alignment horizontal="center" vertical="center" wrapText="1"/>
    </xf>
    <xf numFmtId="176" fontId="22" fillId="2" borderId="19" xfId="0" applyNumberFormat="1" applyFont="1" applyFill="1" applyBorder="1" applyAlignment="1" applyProtection="1">
      <alignment horizontal="center" vertical="center"/>
    </xf>
    <xf numFmtId="0" fontId="20" fillId="14" borderId="1" xfId="0" applyFont="1" applyFill="1" applyBorder="1" applyAlignment="1" applyProtection="1">
      <alignment horizontal="center" vertical="center" wrapText="1"/>
    </xf>
    <xf numFmtId="0" fontId="21" fillId="14" borderId="1" xfId="0" applyFont="1" applyFill="1" applyBorder="1" applyAlignment="1" applyProtection="1">
      <alignment horizontal="center" vertical="center" wrapText="1"/>
    </xf>
    <xf numFmtId="177" fontId="22" fillId="17" borderId="1" xfId="0" applyNumberFormat="1" applyFont="1" applyFill="1" applyBorder="1" applyAlignment="1" applyProtection="1">
      <alignment horizontal="center" vertical="center"/>
    </xf>
    <xf numFmtId="177" fontId="22" fillId="2" borderId="1" xfId="0" applyNumberFormat="1" applyFont="1" applyFill="1" applyBorder="1" applyAlignment="1" applyProtection="1">
      <alignment horizontal="center" vertical="center"/>
    </xf>
    <xf numFmtId="0" fontId="0" fillId="0" borderId="0" xfId="0" applyFill="1" applyBorder="1" applyAlignment="1">
      <alignment vertical="center"/>
    </xf>
    <xf numFmtId="177" fontId="22" fillId="17" borderId="2" xfId="0" applyNumberFormat="1" applyFont="1" applyFill="1" applyBorder="1" applyAlignment="1" applyProtection="1">
      <alignment vertical="center"/>
    </xf>
    <xf numFmtId="0" fontId="21" fillId="14" borderId="3" xfId="0" applyFont="1" applyFill="1" applyBorder="1" applyAlignment="1" applyProtection="1">
      <alignment horizontal="center" vertical="center" wrapText="1"/>
    </xf>
    <xf numFmtId="177" fontId="22" fillId="2" borderId="3" xfId="0" applyNumberFormat="1" applyFont="1" applyFill="1" applyBorder="1" applyAlignment="1" applyProtection="1">
      <alignment vertical="center"/>
    </xf>
    <xf numFmtId="177" fontId="22" fillId="2" borderId="6" xfId="0" applyNumberFormat="1" applyFont="1" applyFill="1" applyBorder="1" applyAlignment="1" applyProtection="1">
      <alignment vertical="center"/>
    </xf>
    <xf numFmtId="177" fontId="22" fillId="2" borderId="4" xfId="0" applyNumberFormat="1" applyFont="1" applyFill="1" applyBorder="1" applyAlignment="1" applyProtection="1">
      <alignment vertical="center"/>
    </xf>
    <xf numFmtId="177" fontId="22" fillId="17" borderId="19" xfId="0" applyNumberFormat="1" applyFont="1" applyFill="1" applyBorder="1" applyAlignment="1" applyProtection="1">
      <alignment horizontal="center" vertical="center"/>
    </xf>
    <xf numFmtId="0" fontId="21" fillId="18" borderId="1" xfId="0" applyFont="1" applyFill="1" applyBorder="1" applyAlignment="1" applyProtection="1">
      <alignment horizontal="center" vertical="center" wrapText="1"/>
    </xf>
    <xf numFmtId="0" fontId="20" fillId="19" borderId="1" xfId="0" applyFont="1" applyFill="1" applyBorder="1" applyAlignment="1" applyProtection="1">
      <alignment horizontal="center" vertical="center" wrapText="1"/>
    </xf>
    <xf numFmtId="0" fontId="21" fillId="19" borderId="1" xfId="0" applyFont="1" applyFill="1" applyBorder="1" applyAlignment="1" applyProtection="1">
      <alignment horizontal="center" vertical="center" wrapText="1"/>
    </xf>
    <xf numFmtId="177" fontId="23" fillId="17" borderId="1" xfId="0" applyNumberFormat="1" applyFont="1" applyFill="1" applyBorder="1" applyAlignment="1" applyProtection="1">
      <alignment horizontal="center" vertical="center"/>
    </xf>
    <xf numFmtId="0" fontId="5" fillId="13" borderId="26" xfId="0" applyFont="1" applyFill="1" applyBorder="1" applyAlignment="1" applyProtection="1">
      <alignment horizontal="left" vertical="center" wrapText="1"/>
      <protection locked="0"/>
    </xf>
    <xf numFmtId="0" fontId="6" fillId="13" borderId="0" xfId="0" applyFont="1" applyFill="1" applyBorder="1" applyAlignment="1" applyProtection="1">
      <protection locked="0"/>
    </xf>
    <xf numFmtId="0" fontId="11" fillId="13" borderId="26" xfId="0" applyFont="1" applyFill="1" applyBorder="1" applyAlignment="1" applyProtection="1">
      <alignment horizontal="left" vertical="center" wrapText="1"/>
      <protection locked="0"/>
    </xf>
    <xf numFmtId="0" fontId="24" fillId="13" borderId="26" xfId="0" applyFont="1" applyFill="1" applyBorder="1" applyAlignment="1" applyProtection="1">
      <alignment horizontal="left" vertical="center" wrapText="1"/>
      <protection locked="0"/>
    </xf>
    <xf numFmtId="0" fontId="19" fillId="12" borderId="13" xfId="0" applyFont="1" applyFill="1" applyBorder="1" applyAlignment="1" applyProtection="1">
      <alignment horizontal="center" vertical="center" wrapText="1"/>
    </xf>
    <xf numFmtId="0" fontId="5" fillId="13" borderId="5" xfId="0" applyFont="1" applyFill="1" applyBorder="1" applyAlignment="1" applyProtection="1">
      <alignment horizontal="left" vertical="center" wrapText="1"/>
      <protection locked="0"/>
    </xf>
    <xf numFmtId="0" fontId="6" fillId="0" borderId="0" xfId="0" applyFont="1" applyFill="1" applyBorder="1" applyAlignment="1" applyProtection="1"/>
    <xf numFmtId="0" fontId="5" fillId="0" borderId="0" xfId="0" applyFont="1" applyFill="1" applyBorder="1" applyAlignment="1" applyProtection="1"/>
    <xf numFmtId="0" fontId="6" fillId="13" borderId="31" xfId="0" applyNumberFormat="1" applyFont="1" applyFill="1" applyBorder="1" applyAlignment="1" applyProtection="1">
      <protection locked="0"/>
    </xf>
    <xf numFmtId="0" fontId="6" fillId="13" borderId="0" xfId="0" applyNumberFormat="1" applyFont="1" applyFill="1" applyBorder="1" applyAlignment="1" applyProtection="1"/>
    <xf numFmtId="0" fontId="6" fillId="12" borderId="2" xfId="0" applyNumberFormat="1" applyFont="1" applyFill="1" applyBorder="1" applyAlignment="1" applyProtection="1">
      <alignment horizontal="center"/>
    </xf>
    <xf numFmtId="0" fontId="5" fillId="12" borderId="2" xfId="0" applyNumberFormat="1" applyFont="1" applyFill="1" applyBorder="1" applyAlignment="1" applyProtection="1">
      <alignment horizontal="center"/>
    </xf>
    <xf numFmtId="0" fontId="6" fillId="12" borderId="2" xfId="0" applyNumberFormat="1" applyFont="1" applyFill="1" applyBorder="1" applyAlignment="1" applyProtection="1">
      <alignment horizontal="center" vertical="center"/>
      <protection locked="0"/>
    </xf>
    <xf numFmtId="0" fontId="6" fillId="13" borderId="0" xfId="0" applyNumberFormat="1" applyFont="1" applyFill="1" applyBorder="1" applyAlignment="1" applyProtection="1">
      <alignment horizontal="center" vertical="center"/>
    </xf>
    <xf numFmtId="0" fontId="25" fillId="15" borderId="47" xfId="0" applyFont="1" applyFill="1" applyBorder="1" applyAlignment="1" applyProtection="1">
      <alignment horizontal="center" vertical="center"/>
    </xf>
    <xf numFmtId="0" fontId="6" fillId="15" borderId="18" xfId="0" applyFont="1" applyFill="1" applyBorder="1" applyAlignment="1" applyProtection="1">
      <alignment horizontal="center" vertical="center"/>
    </xf>
    <xf numFmtId="0" fontId="6" fillId="12" borderId="19" xfId="0" applyNumberFormat="1" applyFont="1" applyFill="1" applyBorder="1" applyAlignment="1" applyProtection="1">
      <alignment horizontal="center"/>
    </xf>
    <xf numFmtId="0" fontId="6" fillId="12" borderId="19" xfId="0" applyNumberFormat="1" applyFont="1" applyFill="1" applyBorder="1" applyAlignment="1" applyProtection="1">
      <alignment horizontal="center" vertical="center"/>
      <protection locked="0"/>
    </xf>
    <xf numFmtId="0" fontId="25" fillId="15" borderId="48" xfId="0" applyFont="1" applyFill="1" applyBorder="1" applyAlignment="1" applyProtection="1">
      <alignment horizontal="center" vertical="center"/>
    </xf>
    <xf numFmtId="0" fontId="6" fillId="15" borderId="43" xfId="0" applyFont="1" applyFill="1" applyBorder="1" applyAlignment="1" applyProtection="1">
      <alignment horizontal="center" vertical="center"/>
    </xf>
    <xf numFmtId="0" fontId="6" fillId="12" borderId="0" xfId="0" applyNumberFormat="1" applyFont="1" applyFill="1" applyBorder="1" applyAlignment="1" applyProtection="1">
      <alignment horizontal="center"/>
    </xf>
    <xf numFmtId="0" fontId="6" fillId="12" borderId="0" xfId="0" applyNumberFormat="1" applyFont="1" applyFill="1" applyBorder="1" applyAlignment="1" applyProtection="1">
      <alignment horizontal="center" vertical="center"/>
      <protection locked="0"/>
    </xf>
    <xf numFmtId="0" fontId="6" fillId="13" borderId="0" xfId="0" applyNumberFormat="1" applyFont="1" applyFill="1" applyBorder="1" applyAlignment="1" applyProtection="1">
      <alignment horizontal="center"/>
    </xf>
    <xf numFmtId="0" fontId="26" fillId="0" borderId="0" xfId="6" applyFont="1" applyFill="1" applyProtection="1">
      <alignment vertical="center"/>
      <protection locked="0"/>
    </xf>
    <xf numFmtId="0" fontId="0" fillId="0" borderId="0" xfId="0" applyProtection="1">
      <alignment vertical="center"/>
      <protection locked="0"/>
    </xf>
    <xf numFmtId="0" fontId="0" fillId="0" borderId="0" xfId="0" applyFill="1" applyProtection="1">
      <alignment vertical="center"/>
      <protection locked="0"/>
    </xf>
    <xf numFmtId="0" fontId="5" fillId="13" borderId="0" xfId="0" applyNumberFormat="1" applyFont="1" applyFill="1" applyBorder="1" applyAlignment="1" applyProtection="1">
      <alignment horizontal="left"/>
      <protection locked="0"/>
    </xf>
    <xf numFmtId="0" fontId="6" fillId="13" borderId="0" xfId="0" applyNumberFormat="1" applyFont="1" applyFill="1" applyBorder="1" applyAlignment="1" applyProtection="1">
      <alignment horizontal="left"/>
    </xf>
    <xf numFmtId="0" fontId="25" fillId="15" borderId="49" xfId="0" applyFont="1" applyFill="1" applyBorder="1" applyAlignment="1" applyProtection="1">
      <alignment horizontal="center" vertical="center"/>
    </xf>
    <xf numFmtId="0" fontId="6" fillId="15" borderId="22" xfId="0" applyFont="1" applyFill="1" applyBorder="1" applyAlignment="1" applyProtection="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常规 2" xfId="50"/>
    <cellStyle name="常规 3" xfId="51"/>
  </cellStyles>
  <dxfs count="6">
    <dxf>
      <border>
        <left style="thin">
          <color auto="1"/>
        </left>
        <right style="thin">
          <color auto="1"/>
        </right>
        <top style="hair">
          <color auto="1"/>
        </top>
        <bottom style="thin">
          <color auto="1"/>
        </bottom>
      </border>
    </dxf>
    <dxf>
      <border>
        <left style="thin">
          <color auto="1"/>
        </left>
        <right style="thin">
          <color auto="1"/>
        </right>
        <top style="hair">
          <color auto="1"/>
        </top>
        <bottom style="hair">
          <color auto="1"/>
        </bottom>
      </border>
    </dxf>
    <dxf>
      <font>
        <name val="宋"/>
        <scheme val="none"/>
        <b val="0"/>
        <i val="0"/>
        <strike val="0"/>
        <u val="none"/>
        <sz val="12"/>
        <color rgb="FF00B050"/>
      </font>
    </dxf>
    <dxf>
      <fill>
        <patternFill patternType="solid">
          <bgColor rgb="FFFF0000"/>
        </patternFill>
      </fill>
    </dxf>
    <dxf>
      <font>
        <b val="0"/>
        <i val="0"/>
        <strike val="0"/>
        <u val="none"/>
        <sz val="12"/>
        <color rgb="FF9C0006"/>
      </font>
      <fill>
        <patternFill patternType="solid">
          <bgColor rgb="FFFFC7CE"/>
        </patternFill>
      </fill>
    </dxf>
    <dxf>
      <fill>
        <patternFill patternType="solid">
          <bgColor rgb="FFCBFFC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4.xml"/><Relationship Id="rId8" Type="http://schemas.openxmlformats.org/officeDocument/2006/relationships/externalLink" Target="externalLinks/externalLink3.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6.xml"/><Relationship Id="rId10" Type="http://schemas.openxmlformats.org/officeDocument/2006/relationships/externalLink" Target="externalLinks/externalLink5.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114300</xdr:colOff>
      <xdr:row>0</xdr:row>
      <xdr:rowOff>134620</xdr:rowOff>
    </xdr:from>
    <xdr:to>
      <xdr:col>25</xdr:col>
      <xdr:colOff>95250</xdr:colOff>
      <xdr:row>54</xdr:row>
      <xdr:rowOff>86995</xdr:rowOff>
    </xdr:to>
    <xdr:pic>
      <xdr:nvPicPr>
        <xdr:cNvPr id="2" name="图片 1"/>
        <xdr:cNvPicPr>
          <a:picLocks noChangeAspect="1"/>
        </xdr:cNvPicPr>
      </xdr:nvPicPr>
      <xdr:blipFill>
        <a:blip r:embed="rId1"/>
        <a:stretch>
          <a:fillRect/>
        </a:stretch>
      </xdr:blipFill>
      <xdr:spPr>
        <a:xfrm>
          <a:off x="13296900" y="134620"/>
          <a:ext cx="7524750" cy="921067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kingsoft\office6\backup\&#26381;&#35013;&#31867;&#30446;&#27169;&#26495;%20-%20&#36890;&#29992;&#29256;%20-%20&#21103;&#2641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WM007\Share007\Users\Administrator\Desktop\&#20122;&#39532;&#36874;\sjxz1102-&#22235;&#23395;&#26143;&#24231;1102\&#22799;&#23041;&#22839;&#34924;&#34923;\DC38\008-sjxz1102-dc3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000PC\ShareK000\02%20&#20135;&#21697;&#31649;&#29702;\&#27169;&#26495;-2022-8-11\step01&#27161;&#38988;&#32232;&#38598;"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Chole\Vasarhely\Amazon&#19968;&#25324;&#25991;&#26696;&#36741;&#21161;-071&#19987;&#29992;(&#20248;&#21270;&#29256;)%20-&#22791;&#2022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TaosThink\Desktop\Super%20Browser\MerkaSoko\SHIRT%20(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hloe\Vasarhely\&#19978;&#20256;&#34920;&#26684;-&#33609;&#31295;&#34920;\&#38795;&#24125;&#31665;&#21253;&#26032;&#27169;&#26495;-3-31-NEW.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ropdown Lists"/>
      <sheetName val="AttributePTDMAP"/>
      <sheetName val="テンプレート"/>
      <sheetName val="Conditions List"/>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はじめに"/>
      <sheetName val="商品画像"/>
      <sheetName val="データ定義"/>
      <sheetName val="テンプレート"/>
      <sheetName val="推奨値"/>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tep01標題編集"/>
    </sheetNames>
    <sheetDataSet>
      <sheetData sheetId="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源数据"/>
      <sheetName val="temp"/>
      <sheetName val="step01 標題編集"/>
      <sheetName val="step02 写真編集"/>
      <sheetName val="Corlor"/>
      <sheetName val="家居"/>
      <sheetName val="服装"/>
      <sheetName val="鞋"/>
      <sheetName val="关键词列表"/>
      <sheetName val="推荐值"/>
    </sheetNames>
    <sheetDataSet>
      <sheetData sheetId="0"/>
      <sheetData sheetId="1">
        <row r="1">
          <cell r="A1" t="str">
            <v>B07L8B359V</v>
          </cell>
        </row>
      </sheetData>
      <sheetData sheetId="2">
        <row r="6">
          <cell r="D6">
            <v>0</v>
          </cell>
        </row>
      </sheetData>
      <sheetData sheetId="3"/>
      <sheetData sheetId="4"/>
      <sheetData sheetId="5"/>
      <sheetData sheetId="6"/>
      <sheetData sheetId="7"/>
      <sheetData sheetId="8"/>
      <sheetData sheetId="9"/>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nstructions"/>
      <sheetName val="Images"/>
      <sheetName val="Example"/>
      <sheetName val="Data Definitions"/>
      <sheetName val="Dropdown Lists"/>
      <sheetName val="AttributePTDMAP"/>
      <sheetName val="Template"/>
      <sheetName val="Browse Data"/>
      <sheetName val="Conditions List"/>
      <sheetName val="Valid Valu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icons"/>
      <sheetName val="International URLs"/>
      <sheetName val="International Settings"/>
      <sheetName val="DropdownSizer"/>
      <sheetName val="はじめに"/>
      <sheetName val="商品画像"/>
      <sheetName val="International Translations"/>
      <sheetName val="Data Validation"/>
      <sheetName val="International Data"/>
      <sheetName val="データ定義"/>
      <sheetName val="Dropdown Lists"/>
      <sheetName val="テンプレート"/>
      <sheetName val="推奨値"/>
      <sheetName val="AttributePTDM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m.qpic.cn/psc?/V50EJGsl1uIkSE1hk7qh4B5hbw1pcDzP/TmEUgtj9EK6.7V8ajmQrEOovUy7Nklm4ADJ*1A6bXM9vAQlkJZt3KbnEAMuAVGRXbuhYHSfZoPQ1L*9SPpVG3WaN5WOp260e20z*lHFx7D8!/b&amp;bo=QAZABkAGQAYBFzA!&amp;rf=viewer_4" TargetMode="External"/><Relationship Id="rId1" Type="http://schemas.openxmlformats.org/officeDocument/2006/relationships/hyperlink" Target="http://m.qpic.cn/psc?/V50EJGsl1uIkSE1hk7qh4B5hbw1pcDzP/TmEUgtj9EK6.7V8ajmQrEOovUy7Nklm4ADJ*1A6bXM9Ps8GGT93nj.l8Bz.HoXAN91KxV2yr4x6AQJdHOquLm1yX2NhZZPYJFfthQn.qjT8!/b&amp;bo=QAZABkAGQAYBJwA!&amp;rf=viewer_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15"/>
  <sheetViews>
    <sheetView zoomScale="70" zoomScaleNormal="70" workbookViewId="0">
      <selection activeCell="F2" sqref="F2:F3"/>
    </sheetView>
  </sheetViews>
  <sheetFormatPr defaultColWidth="8.725" defaultRowHeight="13.5"/>
  <cols>
    <col min="2" max="2" width="18.925" customWidth="1"/>
    <col min="5" max="5" width="18.9333333333333" customWidth="1"/>
    <col min="6" max="6" width="19.1083333333333" customWidth="1"/>
    <col min="16" max="16" width="23.8916666666667" customWidth="1"/>
    <col min="17" max="17" width="99.875" customWidth="1"/>
  </cols>
  <sheetData>
    <row r="1" s="198" customFormat="1" ht="15.75" spans="1:17">
      <c r="A1" s="103"/>
      <c r="B1" s="103"/>
      <c r="C1" s="103"/>
      <c r="D1" s="65"/>
      <c r="E1" s="200"/>
      <c r="F1" s="200"/>
      <c r="G1" s="200"/>
      <c r="H1" s="200"/>
      <c r="I1" s="200"/>
      <c r="J1" s="200"/>
      <c r="K1" s="200"/>
      <c r="L1" s="200"/>
      <c r="M1" s="200"/>
      <c r="N1" s="200"/>
      <c r="O1" s="201"/>
    </row>
    <row r="2" s="198" customFormat="1" ht="15" spans="1:17">
      <c r="A2" s="202" t="s">
        <v>0</v>
      </c>
      <c r="B2" s="202" t="s">
        <v>1</v>
      </c>
      <c r="C2" s="202" t="s">
        <v>2</v>
      </c>
      <c r="D2" s="203" t="s">
        <v>3</v>
      </c>
      <c r="E2" s="204" t="s">
        <v>4</v>
      </c>
      <c r="F2" s="204" t="s">
        <v>5</v>
      </c>
      <c r="G2" s="204" t="s">
        <v>6</v>
      </c>
      <c r="H2" s="204" t="s">
        <v>7</v>
      </c>
      <c r="I2" s="204" t="s">
        <v>8</v>
      </c>
      <c r="J2" s="204" t="s">
        <v>9</v>
      </c>
      <c r="K2" s="204" t="s">
        <v>10</v>
      </c>
      <c r="L2" s="204" t="s">
        <v>11</v>
      </c>
      <c r="M2" s="204" t="s">
        <v>12</v>
      </c>
      <c r="N2" s="204" t="s">
        <v>13</v>
      </c>
      <c r="O2" s="205"/>
      <c r="P2" s="206" t="s">
        <v>14</v>
      </c>
      <c r="Q2" s="207" t="s">
        <v>15</v>
      </c>
    </row>
    <row r="3" s="198" customFormat="1" ht="15" spans="1:17">
      <c r="A3" s="208" t="e">
        <f>[3]step01標題編集!A6</f>
        <v>#REF!</v>
      </c>
      <c r="B3" s="208" t="e">
        <f>[3]step01標題編集!B6</f>
        <v>#REF!</v>
      </c>
      <c r="C3" s="208">
        <f>'[4]step01 標題編集'!D6</f>
        <v>0</v>
      </c>
      <c r="D3" s="208" t="e">
        <f>IF(OR($A$3+$B$3+$C$3=0,$A$3*$B$3*$C$3=1),0,IF($A$3=0,1,$A$3)*IF($B$3=0,1,$B$3)*IF($C$3=0,1,$C$3))</f>
        <v>#REF!</v>
      </c>
      <c r="E3" s="209"/>
      <c r="F3" s="209"/>
      <c r="G3" s="209"/>
      <c r="H3" s="209"/>
      <c r="I3" s="209"/>
      <c r="J3" s="209"/>
      <c r="K3" s="209"/>
      <c r="L3" s="209"/>
      <c r="M3" s="209"/>
      <c r="N3" s="209"/>
      <c r="O3" s="205"/>
      <c r="P3" s="210"/>
      <c r="Q3" s="211"/>
    </row>
    <row r="4" s="198" customFormat="1" ht="15" spans="1:17">
      <c r="A4" s="212"/>
      <c r="B4" s="212"/>
      <c r="C4" s="212"/>
      <c r="D4" s="212"/>
      <c r="E4" s="213" t="s">
        <v>16</v>
      </c>
      <c r="F4" s="213"/>
      <c r="G4" s="213" t="s">
        <v>17</v>
      </c>
      <c r="H4" s="213" t="s">
        <v>18</v>
      </c>
      <c r="I4" s="213" t="s">
        <v>19</v>
      </c>
      <c r="J4" s="213" t="s">
        <v>20</v>
      </c>
      <c r="K4" s="213" t="s">
        <v>21</v>
      </c>
      <c r="L4" s="213" t="s">
        <v>22</v>
      </c>
      <c r="M4" s="213" t="s">
        <v>23</v>
      </c>
      <c r="N4" s="213" t="s">
        <v>24</v>
      </c>
      <c r="O4" s="205"/>
      <c r="P4" s="210"/>
      <c r="Q4" s="211"/>
    </row>
    <row r="5" s="198" customFormat="1" ht="15" spans="1:17">
      <c r="A5" s="214"/>
      <c r="B5" s="214" t="str">
        <f>IF(step01标题尺码信息!B7="","",step01标题尺码信息!B7)</f>
        <v/>
      </c>
      <c r="C5" s="214"/>
      <c r="D5" s="214"/>
      <c r="E5" s="215" t="s">
        <v>25</v>
      </c>
      <c r="F5" s="215" t="s">
        <v>26</v>
      </c>
      <c r="G5" s="216" t="s">
        <v>27</v>
      </c>
      <c r="H5" s="217" t="s">
        <v>28</v>
      </c>
      <c r="I5" s="217" t="s">
        <v>29</v>
      </c>
      <c r="J5" t="s">
        <v>30</v>
      </c>
      <c r="K5" s="218" t="s">
        <v>31</v>
      </c>
      <c r="L5" s="218"/>
      <c r="M5" s="218"/>
      <c r="N5" s="218"/>
      <c r="O5" s="205"/>
      <c r="P5" s="210"/>
      <c r="Q5" s="211"/>
    </row>
    <row r="6" s="198" customFormat="1" ht="15" spans="1:17">
      <c r="A6" s="214"/>
      <c r="B6" s="214" t="str">
        <f>IF(step01标题尺码信息!B8="","",step01标题尺码信息!B8)</f>
        <v/>
      </c>
      <c r="C6" s="214"/>
      <c r="D6" s="214"/>
      <c r="E6" s="218" t="s">
        <v>32</v>
      </c>
      <c r="F6" s="218" t="s">
        <v>33</v>
      </c>
      <c r="G6" s="216" t="s">
        <v>27</v>
      </c>
      <c r="H6" s="217" t="s">
        <v>28</v>
      </c>
      <c r="I6" s="217" t="s">
        <v>29</v>
      </c>
      <c r="J6" t="s">
        <v>30</v>
      </c>
      <c r="K6" s="218" t="s">
        <v>31</v>
      </c>
      <c r="L6" s="218"/>
      <c r="M6" s="218"/>
      <c r="N6" s="218"/>
      <c r="O6" s="205"/>
      <c r="P6" s="210"/>
      <c r="Q6" s="211"/>
    </row>
    <row r="7" s="198" customFormat="1" ht="15" spans="1:17">
      <c r="A7" s="214"/>
      <c r="B7" s="214" t="str">
        <f>IF(step01标题尺码信息!B9="","",step01标题尺码信息!B9)</f>
        <v/>
      </c>
      <c r="C7" s="214"/>
      <c r="D7" s="214"/>
      <c r="E7" s="218" t="s">
        <v>34</v>
      </c>
      <c r="F7" s="218" t="s">
        <v>35</v>
      </c>
      <c r="G7" s="216" t="s">
        <v>27</v>
      </c>
      <c r="H7" s="217" t="s">
        <v>28</v>
      </c>
      <c r="I7" s="217" t="s">
        <v>29</v>
      </c>
      <c r="J7" t="s">
        <v>30</v>
      </c>
      <c r="K7" s="218" t="s">
        <v>31</v>
      </c>
      <c r="L7" s="218"/>
      <c r="M7" s="218"/>
      <c r="N7" s="218"/>
      <c r="O7" s="205"/>
      <c r="P7" s="210"/>
      <c r="Q7" s="211"/>
    </row>
    <row r="8" s="198" customFormat="1" ht="15" spans="1:17">
      <c r="A8" s="214"/>
      <c r="B8" s="214" t="str">
        <f>IF(step01标题尺码信息!B11="","",step01标题尺码信息!B11)</f>
        <v/>
      </c>
      <c r="C8" s="214"/>
      <c r="D8" s="214"/>
      <c r="E8" s="218"/>
      <c r="F8" s="218"/>
      <c r="G8" s="218"/>
      <c r="H8" s="218"/>
      <c r="I8" s="218"/>
      <c r="J8" s="218"/>
      <c r="K8" s="218"/>
      <c r="L8" s="218"/>
      <c r="M8" s="218"/>
      <c r="N8" s="218"/>
      <c r="O8" s="205"/>
      <c r="P8" s="210"/>
      <c r="Q8" s="211"/>
    </row>
    <row r="9" s="198" customFormat="1" ht="15" spans="1:17">
      <c r="A9" s="214" t="str">
        <f>IF('[4]step01 標題編集'!A11="","",'[4]step01 標題編集'!A11)</f>
        <v/>
      </c>
      <c r="B9" s="214" t="str">
        <f>IF(step01标题尺码信息!B12="","",step01标题尺码信息!B12)</f>
        <v/>
      </c>
      <c r="C9" s="214"/>
      <c r="D9" s="214"/>
      <c r="E9" s="218"/>
      <c r="F9" s="218"/>
      <c r="G9" s="218"/>
      <c r="H9" s="218"/>
      <c r="I9" s="218"/>
      <c r="J9" s="218"/>
      <c r="K9" s="218"/>
      <c r="L9" s="218"/>
      <c r="M9" s="218"/>
      <c r="N9" s="218"/>
      <c r="O9" s="205"/>
      <c r="P9" s="210"/>
      <c r="Q9" s="211"/>
    </row>
    <row r="10" s="198" customFormat="1" ht="15" spans="1:17">
      <c r="A10" s="214" t="str">
        <f>IF('[4]step01 標題編集'!A12="","",'[4]step01 標題編集'!A12)</f>
        <v/>
      </c>
      <c r="B10" s="214" t="str">
        <f>IF(step01标题尺码信息!B13="","",step01标题尺码信息!B13)</f>
        <v/>
      </c>
      <c r="C10" s="214"/>
      <c r="D10" s="214"/>
      <c r="E10" s="219"/>
      <c r="F10" s="218"/>
      <c r="G10" s="218"/>
      <c r="H10" s="218"/>
      <c r="I10" s="218"/>
      <c r="J10" s="218"/>
      <c r="K10" s="218"/>
      <c r="L10" s="218"/>
      <c r="M10" s="218"/>
      <c r="N10" s="218"/>
      <c r="O10" s="205"/>
      <c r="P10" s="210"/>
      <c r="Q10" s="211"/>
    </row>
    <row r="11" s="198" customFormat="1" ht="15" spans="1:17">
      <c r="A11" s="214" t="str">
        <f>IF('[4]step01 標題編集'!A13="","",'[4]step01 標題編集'!A13)</f>
        <v/>
      </c>
      <c r="B11" s="214" t="str">
        <f>IF(step01标题尺码信息!B14="","",step01标题尺码信息!B14)</f>
        <v/>
      </c>
      <c r="C11" s="214"/>
      <c r="D11" s="214"/>
      <c r="E11" s="219"/>
      <c r="F11" s="218"/>
      <c r="G11" s="218"/>
      <c r="H11" s="218"/>
      <c r="I11" s="218"/>
      <c r="J11" s="218"/>
      <c r="K11" s="218"/>
      <c r="L11" s="218"/>
      <c r="M11" s="218"/>
      <c r="N11" s="218"/>
      <c r="O11" s="205"/>
      <c r="P11" s="210"/>
      <c r="Q11" s="211"/>
    </row>
    <row r="12" s="198" customFormat="1" ht="15.75" spans="1:17">
      <c r="A12" s="214" t="str">
        <f>IF('[4]step01 標題編集'!A14="","",'[4]step01 標題編集'!A14)</f>
        <v/>
      </c>
      <c r="B12" s="214" t="e">
        <f>IF(step01标题尺码信息!#REF!="","",step01标题尺码信息!#REF!)</f>
        <v>#REF!</v>
      </c>
      <c r="C12" s="214"/>
      <c r="D12" s="214"/>
      <c r="E12" s="219"/>
      <c r="F12" s="218"/>
      <c r="G12" s="218"/>
      <c r="H12" s="218"/>
      <c r="I12" s="218"/>
      <c r="J12" s="218"/>
      <c r="K12" s="218"/>
      <c r="L12" s="218"/>
      <c r="M12" s="218"/>
      <c r="N12" s="218"/>
      <c r="O12" s="205"/>
      <c r="P12" s="220"/>
      <c r="Q12" s="221"/>
    </row>
    <row r="13" s="198" customFormat="1" ht="15" spans="1:17">
      <c r="A13" s="214" t="str">
        <f>IF('[4]step01 標題編集'!A15="","",'[4]step01 標題編集'!A15)</f>
        <v/>
      </c>
      <c r="B13" s="214" t="str">
        <f>IF(step01标题尺码信息!B15="","",step01标题尺码信息!B15)</f>
        <v/>
      </c>
      <c r="C13" s="214"/>
      <c r="D13" s="214"/>
      <c r="E13" s="219"/>
      <c r="F13" s="218"/>
      <c r="G13" s="218"/>
      <c r="H13" s="218"/>
      <c r="I13" s="218"/>
      <c r="J13" s="218"/>
      <c r="K13" s="218"/>
      <c r="L13" s="218"/>
      <c r="M13" s="218"/>
      <c r="N13" s="218"/>
      <c r="O13" s="205"/>
    </row>
    <row r="14" s="198" customFormat="1" ht="15" spans="1:17">
      <c r="A14" s="214" t="str">
        <f>IF('[4]step01 標題編集'!A16="","",'[4]step01 標題編集'!A16)</f>
        <v/>
      </c>
      <c r="B14" s="214" t="str">
        <f>IF(step01标题尺码信息!B16="","",step01标题尺码信息!B16)</f>
        <v/>
      </c>
      <c r="C14" s="214"/>
      <c r="D14" s="214"/>
      <c r="E14" s="219"/>
      <c r="F14" s="218"/>
      <c r="G14" s="218"/>
      <c r="H14" s="218"/>
      <c r="I14" s="218"/>
      <c r="J14" s="218"/>
      <c r="K14" s="218"/>
      <c r="L14" s="218"/>
      <c r="M14" s="218"/>
      <c r="N14" s="218"/>
      <c r="O14" s="205"/>
    </row>
    <row r="15" s="198" customFormat="1" ht="15" spans="1:17">
      <c r="A15" s="214" t="str">
        <f>IF('[4]step01 標題編集'!A17="","",'[4]step01 標題編集'!A17)</f>
        <v/>
      </c>
      <c r="B15" s="214" t="str">
        <f>IF(step01标题尺码信息!B17="","",step01标题尺码信息!B17)</f>
        <v/>
      </c>
      <c r="C15" s="214"/>
      <c r="D15" s="214"/>
      <c r="E15" s="219"/>
      <c r="F15" s="218"/>
      <c r="G15" s="218"/>
      <c r="H15" s="218"/>
      <c r="I15" s="218"/>
      <c r="J15" s="218"/>
      <c r="K15" s="218"/>
      <c r="L15" s="218"/>
      <c r="M15" s="218"/>
      <c r="N15" s="218"/>
      <c r="O15" s="205"/>
    </row>
    <row r="16" s="198" customFormat="1" ht="15" spans="1:17">
      <c r="A16" s="214" t="str">
        <f>IF('[4]step01 標題編集'!A18="","",'[4]step01 標題編集'!A18)</f>
        <v/>
      </c>
      <c r="B16" s="214" t="str">
        <f>IF(step01标题尺码信息!B18="","",step01标题尺码信息!B18)</f>
        <v/>
      </c>
      <c r="C16" s="214"/>
      <c r="D16" s="214"/>
      <c r="E16" s="219" t="str">
        <f>IF(""=IFERROR(VLOOKUP([4]temp!$A$1&amp;"_"&amp;$B16,#REF!,2,FALSE),""),"",IFERROR(VLOOKUP([4]temp!$A$1&amp;"_"&amp;$B16,#REF!,2,FALSE),""))</f>
        <v/>
      </c>
      <c r="F16" s="218"/>
      <c r="G16" s="218"/>
      <c r="H16" s="218"/>
      <c r="I16" s="218"/>
      <c r="J16" s="218"/>
      <c r="K16" s="218"/>
      <c r="L16" s="218"/>
      <c r="M16" s="218"/>
      <c r="N16" s="218"/>
      <c r="O16" s="205"/>
    </row>
    <row r="17" s="198" customFormat="1" ht="15" spans="1:15">
      <c r="A17" s="214" t="str">
        <f>IF('[4]step01 標題編集'!A19="","",'[4]step01 標題編集'!A19)</f>
        <v/>
      </c>
      <c r="B17" s="214" t="str">
        <f>IF(step01标题尺码信息!B19="","",step01标题尺码信息!B19)</f>
        <v/>
      </c>
      <c r="C17" s="214"/>
      <c r="D17" s="214"/>
      <c r="E17" s="219" t="str">
        <f>IF(""=IFERROR(VLOOKUP([4]temp!$A$1&amp;"_"&amp;$B17,#REF!,2,FALSE),""),"",IFERROR(VLOOKUP([4]temp!$A$1&amp;"_"&amp;$B17,#REF!,2,FALSE),""))</f>
        <v/>
      </c>
      <c r="F17" s="218"/>
      <c r="G17" s="218"/>
      <c r="H17" s="218"/>
      <c r="I17" s="218"/>
      <c r="J17" s="218"/>
      <c r="K17" s="218"/>
      <c r="L17" s="218"/>
      <c r="M17" s="218"/>
      <c r="N17" s="218"/>
      <c r="O17" s="205"/>
    </row>
    <row r="18" s="198" customFormat="1" ht="15" spans="1:15">
      <c r="A18" s="214" t="str">
        <f>IF('[4]step01 標題編集'!A20="","",'[4]step01 標題編集'!A20)</f>
        <v/>
      </c>
      <c r="B18" s="214" t="str">
        <f>IF(step01标题尺码信息!B20="","",step01标题尺码信息!B20)</f>
        <v/>
      </c>
      <c r="C18" s="214"/>
      <c r="D18" s="214"/>
      <c r="E18" s="219" t="str">
        <f>IF(""=IFERROR(VLOOKUP([4]temp!$A$1&amp;"_"&amp;$B18,#REF!,2,FALSE),""),"",IFERROR(VLOOKUP([4]temp!$A$1&amp;"_"&amp;$B18,#REF!,2,FALSE),""))</f>
        <v/>
      </c>
      <c r="F18" s="218"/>
      <c r="G18" s="218"/>
      <c r="H18" s="218"/>
      <c r="I18" s="218"/>
      <c r="J18" s="218"/>
      <c r="K18" s="218"/>
      <c r="L18" s="218"/>
      <c r="M18" s="218"/>
      <c r="N18" s="218"/>
      <c r="O18" s="205"/>
    </row>
    <row r="19" s="198" customFormat="1" ht="15" spans="1:15">
      <c r="A19" s="214" t="str">
        <f>IF('[4]step01 標題編集'!A21="","",'[4]step01 標題編集'!A21)</f>
        <v/>
      </c>
      <c r="B19" s="214" t="str">
        <f>IF(step01标题尺码信息!B21="","",step01标题尺码信息!B21)</f>
        <v/>
      </c>
      <c r="C19" s="214"/>
      <c r="D19" s="214"/>
      <c r="E19" s="219" t="str">
        <f>IF(""=IFERROR(VLOOKUP([4]temp!$A$1&amp;"_"&amp;$B19,#REF!,2,FALSE),""),"",IFERROR(VLOOKUP([4]temp!$A$1&amp;"_"&amp;$B19,#REF!,2,FALSE),""))</f>
        <v/>
      </c>
      <c r="F19" s="218"/>
      <c r="G19" s="218"/>
      <c r="H19" s="218"/>
      <c r="I19" s="218"/>
      <c r="J19" s="218"/>
      <c r="K19" s="218"/>
      <c r="L19" s="218"/>
      <c r="M19" s="218"/>
      <c r="N19" s="218"/>
      <c r="O19" s="205"/>
    </row>
    <row r="20" s="198" customFormat="1" ht="15" spans="1:15">
      <c r="A20" s="214" t="str">
        <f>IF('[4]step01 標題編集'!A22="","",'[4]step01 標題編集'!A22)</f>
        <v/>
      </c>
      <c r="B20" s="214" t="str">
        <f>IF(step01标题尺码信息!B22="","",step01标题尺码信息!B22)</f>
        <v/>
      </c>
      <c r="C20" s="214"/>
      <c r="D20" s="214"/>
      <c r="E20" s="219" t="str">
        <f>IF(""=IFERROR(VLOOKUP([4]temp!$A$1&amp;"_"&amp;$B20,#REF!,2,FALSE),""),"",IFERROR(VLOOKUP([4]temp!$A$1&amp;"_"&amp;$B20,#REF!,2,FALSE),""))</f>
        <v/>
      </c>
      <c r="F20" s="218"/>
      <c r="G20" s="218"/>
      <c r="H20" s="218"/>
      <c r="I20" s="218"/>
      <c r="J20" s="218"/>
      <c r="K20" s="218"/>
      <c r="L20" s="218"/>
      <c r="M20" s="218"/>
      <c r="N20" s="218"/>
      <c r="O20" s="205"/>
    </row>
    <row r="21" s="198" customFormat="1" ht="15" spans="1:15">
      <c r="A21" s="214" t="str">
        <f>IF('[4]step01 標題編集'!A23="","",'[4]step01 標題編集'!A23)</f>
        <v/>
      </c>
      <c r="B21" s="214" t="str">
        <f>IF(step01标题尺码信息!B23="","",step01标题尺码信息!B23)</f>
        <v/>
      </c>
      <c r="C21" s="214"/>
      <c r="D21" s="214"/>
      <c r="E21" s="219" t="str">
        <f>IF(""=IFERROR(VLOOKUP([4]temp!$A$1&amp;"_"&amp;$B21,#REF!,2,FALSE),""),"",IFERROR(VLOOKUP([4]temp!$A$1&amp;"_"&amp;$B21,#REF!,2,FALSE),""))</f>
        <v/>
      </c>
      <c r="F21" s="218"/>
      <c r="G21" s="218"/>
      <c r="H21" s="218"/>
      <c r="I21" s="218"/>
      <c r="J21" s="218"/>
      <c r="K21" s="218"/>
      <c r="L21" s="218"/>
      <c r="M21" s="218"/>
      <c r="N21" s="218"/>
      <c r="O21" s="205"/>
    </row>
    <row r="22" s="198" customFormat="1" ht="15" spans="1:15">
      <c r="A22" s="214" t="str">
        <f>IF('[4]step01 標題編集'!A24="","",'[4]step01 標題編集'!A24)</f>
        <v/>
      </c>
      <c r="B22" s="214" t="str">
        <f>IF(step01标题尺码信息!B24="","",step01标题尺码信息!B24)</f>
        <v/>
      </c>
      <c r="C22" s="214"/>
      <c r="D22" s="214"/>
      <c r="E22" s="219" t="str">
        <f>IF(""=IFERROR(VLOOKUP([4]temp!$A$1&amp;"_"&amp;$B22,#REF!,2,FALSE),""),"",IFERROR(VLOOKUP([4]temp!$A$1&amp;"_"&amp;$B22,#REF!,2,FALSE),""))</f>
        <v/>
      </c>
      <c r="F22" s="218"/>
      <c r="G22" s="218"/>
      <c r="H22" s="218"/>
      <c r="I22" s="218"/>
      <c r="J22" s="218"/>
      <c r="K22" s="218"/>
      <c r="L22" s="218"/>
      <c r="M22" s="218"/>
      <c r="N22" s="218"/>
      <c r="O22" s="205"/>
    </row>
    <row r="23" s="198" customFormat="1" ht="15" spans="1:15">
      <c r="A23" s="214" t="str">
        <f>IF('[4]step01 標題編集'!A25="","",'[4]step01 標題編集'!A25)</f>
        <v/>
      </c>
      <c r="B23" s="214" t="str">
        <f>IF(step01标题尺码信息!B25="","",step01标题尺码信息!B25)</f>
        <v/>
      </c>
      <c r="C23" s="214"/>
      <c r="D23" s="214"/>
      <c r="E23" s="219" t="str">
        <f>IF(""=IFERROR(VLOOKUP([4]temp!$A$1&amp;"_"&amp;$B23,#REF!,2,FALSE),""),"",IFERROR(VLOOKUP([4]temp!$A$1&amp;"_"&amp;$B23,#REF!,2,FALSE),""))</f>
        <v/>
      </c>
      <c r="F23" s="218"/>
      <c r="G23" s="218"/>
      <c r="H23" s="218"/>
      <c r="I23" s="218"/>
      <c r="J23" s="218"/>
      <c r="K23" s="218"/>
      <c r="L23" s="218"/>
      <c r="M23" s="218"/>
      <c r="N23" s="218"/>
      <c r="O23" s="205"/>
    </row>
    <row r="24" s="198" customFormat="1" ht="15" spans="1:15">
      <c r="A24" s="214" t="str">
        <f>IF('[4]step01 標題編集'!A26="","",'[4]step01 標題編集'!A26)</f>
        <v/>
      </c>
      <c r="B24" s="214" t="str">
        <f>IF(step01标题尺码信息!B26="","",step01标题尺码信息!B26)</f>
        <v/>
      </c>
      <c r="C24" s="214"/>
      <c r="D24" s="214"/>
      <c r="E24" s="219" t="str">
        <f>IF(""=IFERROR(VLOOKUP([4]temp!$A$1&amp;"_"&amp;$B24,#REF!,2,FALSE),""),"",IFERROR(VLOOKUP([4]temp!$A$1&amp;"_"&amp;$B24,#REF!,2,FALSE),""))</f>
        <v/>
      </c>
      <c r="F24" s="218"/>
      <c r="G24" s="218"/>
      <c r="H24" s="218"/>
      <c r="I24" s="218"/>
      <c r="J24" s="218"/>
      <c r="K24" s="218"/>
      <c r="L24" s="218"/>
      <c r="M24" s="218"/>
      <c r="N24" s="218"/>
      <c r="O24" s="205"/>
    </row>
    <row r="25" s="198" customFormat="1" ht="15" spans="1:15">
      <c r="A25" s="214" t="str">
        <f>IF('[4]step01 標題編集'!A27="","",'[4]step01 標題編集'!A27)</f>
        <v/>
      </c>
      <c r="B25" s="214" t="str">
        <f>IF(step01标题尺码信息!B27="","",step01标题尺码信息!B27)</f>
        <v/>
      </c>
      <c r="C25" s="214"/>
      <c r="D25" s="214"/>
      <c r="E25" s="219" t="str">
        <f>IF(""=IFERROR(VLOOKUP([4]temp!$A$1&amp;"_"&amp;$B25,#REF!,2,FALSE),""),"",IFERROR(VLOOKUP([4]temp!$A$1&amp;"_"&amp;$B25,#REF!,2,FALSE),""))</f>
        <v/>
      </c>
      <c r="F25" s="218"/>
      <c r="G25" s="218"/>
      <c r="H25" s="218"/>
      <c r="I25" s="218"/>
      <c r="J25" s="218"/>
      <c r="K25" s="218"/>
      <c r="L25" s="218"/>
      <c r="M25" s="218"/>
      <c r="N25" s="218"/>
      <c r="O25" s="205"/>
    </row>
    <row r="26" s="198" customFormat="1" ht="15" spans="1:15">
      <c r="A26" s="214" t="str">
        <f>IF('[4]step01 標題編集'!A28="","",'[4]step01 標題編集'!A28)</f>
        <v/>
      </c>
      <c r="B26" s="214" t="str">
        <f>IF(step01标题尺码信息!B28="","",step01标题尺码信息!B28)</f>
        <v/>
      </c>
      <c r="C26" s="214"/>
      <c r="D26" s="214"/>
      <c r="E26" s="219" t="str">
        <f>IF(""=IFERROR(VLOOKUP([4]temp!$A$1&amp;"_"&amp;$B26,#REF!,2,FALSE),""),"",IFERROR(VLOOKUP([4]temp!$A$1&amp;"_"&amp;$B26,#REF!,2,FALSE),""))</f>
        <v/>
      </c>
      <c r="F26" s="218"/>
      <c r="G26" s="218"/>
      <c r="H26" s="218"/>
      <c r="I26" s="218"/>
      <c r="J26" s="218"/>
      <c r="K26" s="218"/>
      <c r="L26" s="218"/>
      <c r="M26" s="218"/>
      <c r="N26" s="218"/>
      <c r="O26" s="205"/>
    </row>
    <row r="27" s="198" customFormat="1" ht="15" spans="1:15">
      <c r="A27" s="214" t="str">
        <f>IF('[4]step01 標題編集'!A29="","",'[4]step01 標題編集'!A29)</f>
        <v/>
      </c>
      <c r="B27" s="214" t="str">
        <f>IF(step01标题尺码信息!B29="","",step01标题尺码信息!B29)</f>
        <v/>
      </c>
      <c r="C27" s="214"/>
      <c r="D27" s="214"/>
      <c r="E27" s="219" t="str">
        <f>IF(""=IFERROR(VLOOKUP([4]temp!$A$1&amp;"_"&amp;$B27,#REF!,2,FALSE),""),"",IFERROR(VLOOKUP([4]temp!$A$1&amp;"_"&amp;$B27,#REF!,2,FALSE),""))</f>
        <v/>
      </c>
      <c r="F27" s="218"/>
      <c r="G27" s="218"/>
      <c r="H27" s="218"/>
      <c r="I27" s="218"/>
      <c r="J27" s="218"/>
      <c r="K27" s="218"/>
      <c r="L27" s="218"/>
      <c r="M27" s="218"/>
      <c r="N27" s="218"/>
      <c r="O27" s="205"/>
    </row>
    <row r="28" s="198" customFormat="1" ht="15" spans="1:15">
      <c r="A28" s="214" t="str">
        <f>IF('[4]step01 標題編集'!A30="","",'[4]step01 標題編集'!A30)</f>
        <v/>
      </c>
      <c r="B28" s="214" t="str">
        <f>IF(step01标题尺码信息!B30="","",step01标题尺码信息!B30)</f>
        <v/>
      </c>
      <c r="C28" s="214"/>
      <c r="D28" s="214"/>
      <c r="E28" s="219" t="str">
        <f>IF(""=IFERROR(VLOOKUP([4]temp!$A$1&amp;"_"&amp;$B28,#REF!,2,FALSE),""),"",IFERROR(VLOOKUP([4]temp!$A$1&amp;"_"&amp;$B28,#REF!,2,FALSE),""))</f>
        <v/>
      </c>
      <c r="F28" s="218"/>
      <c r="G28" s="218"/>
      <c r="H28" s="218"/>
      <c r="I28" s="218"/>
      <c r="J28" s="218"/>
      <c r="K28" s="218"/>
      <c r="L28" s="218"/>
      <c r="M28" s="218"/>
      <c r="N28" s="218"/>
      <c r="O28" s="205"/>
    </row>
    <row r="29" s="198" customFormat="1" ht="15" spans="1:15">
      <c r="A29" s="214" t="str">
        <f>IF('[4]step01 標題編集'!A31="","",'[4]step01 標題編集'!A31)</f>
        <v/>
      </c>
      <c r="B29" s="214" t="str">
        <f>IF(step01标题尺码信息!B31="","",step01标题尺码信息!B31)</f>
        <v/>
      </c>
      <c r="C29" s="214"/>
      <c r="D29" s="214"/>
      <c r="E29" s="219" t="str">
        <f>IF(""=IFERROR(VLOOKUP([4]temp!$A$1&amp;"_"&amp;$B29,#REF!,2,FALSE),""),"",IFERROR(VLOOKUP([4]temp!$A$1&amp;"_"&amp;$B29,#REF!,2,FALSE),""))</f>
        <v/>
      </c>
      <c r="F29" s="218"/>
      <c r="G29" s="218"/>
      <c r="H29" s="218"/>
      <c r="I29" s="218"/>
      <c r="J29" s="218"/>
      <c r="K29" s="218"/>
      <c r="L29" s="218"/>
      <c r="M29" s="218"/>
      <c r="N29" s="218"/>
      <c r="O29" s="205"/>
    </row>
    <row r="30" s="198" customFormat="1" ht="15" spans="1:15">
      <c r="A30" s="214" t="str">
        <f>IF('[4]step01 標題編集'!A32="","",'[4]step01 標題編集'!A32)</f>
        <v/>
      </c>
      <c r="B30" s="214" t="str">
        <f>IF(step01标题尺码信息!B32="","",step01标题尺码信息!B32)</f>
        <v/>
      </c>
      <c r="C30" s="214"/>
      <c r="D30" s="214"/>
      <c r="E30" s="219" t="str">
        <f>IF(""=IFERROR(VLOOKUP([4]temp!$A$1&amp;"_"&amp;$B30,#REF!,2,FALSE),""),"",IFERROR(VLOOKUP([4]temp!$A$1&amp;"_"&amp;$B30,#REF!,2,FALSE),""))</f>
        <v/>
      </c>
      <c r="F30" s="218"/>
      <c r="G30" s="218"/>
      <c r="H30" s="218"/>
      <c r="I30" s="218"/>
      <c r="J30" s="218"/>
      <c r="K30" s="218"/>
      <c r="L30" s="218"/>
      <c r="M30" s="218"/>
      <c r="N30" s="218"/>
      <c r="O30" s="205"/>
    </row>
    <row r="31" s="198" customFormat="1" ht="15" spans="1:15">
      <c r="A31" s="214" t="str">
        <f>IF('[4]step01 標題編集'!A33="","",'[4]step01 標題編集'!A33)</f>
        <v/>
      </c>
      <c r="B31" s="214" t="str">
        <f>IF(step01标题尺码信息!B33="","",step01标题尺码信息!B33)</f>
        <v/>
      </c>
      <c r="C31" s="214"/>
      <c r="D31" s="214"/>
      <c r="E31" s="219" t="str">
        <f>IF(""=IFERROR(VLOOKUP([4]temp!$A$1&amp;"_"&amp;$B31,#REF!,2,FALSE),""),"",IFERROR(VLOOKUP([4]temp!$A$1&amp;"_"&amp;$B31,#REF!,2,FALSE),""))</f>
        <v/>
      </c>
      <c r="F31" s="218"/>
      <c r="G31" s="218"/>
      <c r="H31" s="218"/>
      <c r="I31" s="218"/>
      <c r="J31" s="218"/>
      <c r="K31" s="218"/>
      <c r="L31" s="218"/>
      <c r="M31" s="218"/>
      <c r="N31" s="218"/>
      <c r="O31" s="205"/>
    </row>
    <row r="32" s="198" customFormat="1" ht="15" spans="1:15">
      <c r="A32" s="214" t="str">
        <f>IF('[4]step01 標題編集'!A34="","",'[4]step01 標題編集'!A34)</f>
        <v/>
      </c>
      <c r="B32" s="214" t="str">
        <f>IF(step01标题尺码信息!B34="","",step01标题尺码信息!B34)</f>
        <v/>
      </c>
      <c r="C32" s="214"/>
      <c r="D32" s="214"/>
      <c r="E32" s="219" t="str">
        <f>IF(""=IFERROR(VLOOKUP([4]temp!$A$1&amp;"_"&amp;$B32,#REF!,2,FALSE),""),"",IFERROR(VLOOKUP([4]temp!$A$1&amp;"_"&amp;$B32,#REF!,2,FALSE),""))</f>
        <v/>
      </c>
      <c r="F32" s="218"/>
      <c r="G32" s="218"/>
      <c r="H32" s="218"/>
      <c r="I32" s="218"/>
      <c r="J32" s="218"/>
      <c r="K32" s="218"/>
      <c r="L32" s="218"/>
      <c r="M32" s="218"/>
      <c r="N32" s="218"/>
      <c r="O32" s="205"/>
    </row>
    <row r="33" s="198" customFormat="1" ht="15" spans="1:15">
      <c r="A33" s="214" t="str">
        <f>IF('[4]step01 標題編集'!A35="","",'[4]step01 標題編集'!A35)</f>
        <v/>
      </c>
      <c r="B33" s="214" t="str">
        <f>IF(step01标题尺码信息!B35="","",step01标题尺码信息!B35)</f>
        <v/>
      </c>
      <c r="C33" s="214"/>
      <c r="D33" s="214"/>
      <c r="E33" s="219" t="str">
        <f>IF(""=IFERROR(VLOOKUP([4]temp!$A$1&amp;"_"&amp;$B33,#REF!,2,FALSE),""),"",IFERROR(VLOOKUP([4]temp!$A$1&amp;"_"&amp;$B33,#REF!,2,FALSE),""))</f>
        <v/>
      </c>
      <c r="F33" s="218"/>
      <c r="G33" s="218"/>
      <c r="H33" s="218"/>
      <c r="I33" s="218"/>
      <c r="J33" s="218"/>
      <c r="K33" s="218"/>
      <c r="L33" s="218"/>
      <c r="M33" s="218"/>
      <c r="N33" s="218"/>
      <c r="O33" s="205"/>
    </row>
    <row r="34" s="198" customFormat="1" ht="15" spans="1:15">
      <c r="A34" s="214" t="str">
        <f>IF('[4]step01 標題編集'!A36="","",'[4]step01 標題編集'!A36)</f>
        <v/>
      </c>
      <c r="B34" s="214" t="str">
        <f>IF(step01标题尺码信息!B36="","",step01标题尺码信息!B36)</f>
        <v/>
      </c>
      <c r="C34" s="214"/>
      <c r="D34" s="214"/>
      <c r="E34" s="219" t="str">
        <f>IF(""=IFERROR(VLOOKUP([4]temp!$A$1&amp;"_"&amp;$B34,#REF!,2,FALSE),""),"",IFERROR(VLOOKUP([4]temp!$A$1&amp;"_"&amp;$B34,#REF!,2,FALSE),""))</f>
        <v/>
      </c>
      <c r="F34" s="218"/>
      <c r="G34" s="218"/>
      <c r="H34" s="218"/>
      <c r="I34" s="218"/>
      <c r="J34" s="218"/>
      <c r="K34" s="218"/>
      <c r="L34" s="218"/>
      <c r="M34" s="218"/>
      <c r="N34" s="218"/>
      <c r="O34" s="205"/>
    </row>
    <row r="35" s="198" customFormat="1" ht="15" spans="1:15">
      <c r="A35" s="214" t="str">
        <f>IF('[4]step01 標題編集'!A37="","",'[4]step01 標題編集'!A37)</f>
        <v/>
      </c>
      <c r="B35" s="214" t="str">
        <f>IF(step01标题尺码信息!B37="","",step01标题尺码信息!B37)</f>
        <v/>
      </c>
      <c r="C35" s="214"/>
      <c r="D35" s="214"/>
      <c r="E35" s="219" t="str">
        <f>IF(""=IFERROR(VLOOKUP([4]temp!$A$1&amp;"_"&amp;$B35,#REF!,2,FALSE),""),"",IFERROR(VLOOKUP([4]temp!$A$1&amp;"_"&amp;$B35,#REF!,2,FALSE),""))</f>
        <v/>
      </c>
      <c r="F35" s="218"/>
      <c r="G35" s="218"/>
      <c r="H35" s="218"/>
      <c r="I35" s="218"/>
      <c r="J35" s="218"/>
      <c r="K35" s="218"/>
      <c r="L35" s="218"/>
      <c r="M35" s="218"/>
      <c r="N35" s="218"/>
      <c r="O35" s="205"/>
    </row>
    <row r="36" s="198" customFormat="1" ht="15" spans="1:15">
      <c r="A36" s="214" t="str">
        <f>IF('[4]step01 標題編集'!A38="","",'[4]step01 標題編集'!A38)</f>
        <v/>
      </c>
      <c r="B36" s="214" t="str">
        <f>IF(step01标题尺码信息!B38="","",step01标题尺码信息!B38)</f>
        <v/>
      </c>
      <c r="C36" s="214"/>
      <c r="D36" s="214"/>
      <c r="E36" s="219" t="str">
        <f>IF(""=IFERROR(VLOOKUP([4]temp!$A$1&amp;"_"&amp;$B36,#REF!,2,FALSE),""),"",IFERROR(VLOOKUP([4]temp!$A$1&amp;"_"&amp;$B36,#REF!,2,FALSE),""))</f>
        <v/>
      </c>
      <c r="F36" s="218"/>
      <c r="G36" s="218"/>
      <c r="H36" s="218"/>
      <c r="I36" s="218"/>
      <c r="J36" s="218"/>
      <c r="K36" s="218"/>
      <c r="L36" s="218"/>
      <c r="M36" s="218"/>
      <c r="N36" s="218"/>
      <c r="O36" s="205"/>
    </row>
    <row r="37" s="198" customFormat="1" ht="15" spans="1:15">
      <c r="A37" s="214" t="str">
        <f>IF('[4]step01 標題編集'!A39="","",'[4]step01 標題編集'!A39)</f>
        <v/>
      </c>
      <c r="B37" s="214" t="str">
        <f>IF(step01标题尺码信息!B39="","",step01标题尺码信息!B39)</f>
        <v/>
      </c>
      <c r="C37" s="214"/>
      <c r="D37" s="214"/>
      <c r="E37" s="219" t="str">
        <f>IF(""=IFERROR(VLOOKUP([4]temp!$A$1&amp;"_"&amp;$B37,#REF!,2,FALSE),""),"",IFERROR(VLOOKUP([4]temp!$A$1&amp;"_"&amp;$B37,#REF!,2,FALSE),""))</f>
        <v/>
      </c>
      <c r="F37" s="218"/>
      <c r="G37" s="218"/>
      <c r="H37" s="218"/>
      <c r="I37" s="218"/>
      <c r="J37" s="218"/>
      <c r="K37" s="218"/>
      <c r="L37" s="218"/>
      <c r="M37" s="218"/>
      <c r="N37" s="218"/>
      <c r="O37" s="205"/>
    </row>
    <row r="38" s="198" customFormat="1" ht="15" spans="1:15">
      <c r="A38" s="214" t="str">
        <f>IF('[4]step01 標題編集'!A40="","",'[4]step01 標題編集'!A40)</f>
        <v/>
      </c>
      <c r="B38" s="214" t="str">
        <f>IF(step01标题尺码信息!B40="","",step01标题尺码信息!B40)</f>
        <v/>
      </c>
      <c r="C38" s="214"/>
      <c r="D38" s="214"/>
      <c r="E38" s="219" t="str">
        <f>IF(""=IFERROR(VLOOKUP([4]temp!$A$1&amp;"_"&amp;$B38,#REF!,2,FALSE),""),"",IFERROR(VLOOKUP([4]temp!$A$1&amp;"_"&amp;$B38,#REF!,2,FALSE),""))</f>
        <v/>
      </c>
      <c r="F38" s="218"/>
      <c r="G38" s="218"/>
      <c r="H38" s="218"/>
      <c r="I38" s="218"/>
      <c r="J38" s="218"/>
      <c r="K38" s="218"/>
      <c r="L38" s="218"/>
      <c r="M38" s="218"/>
      <c r="N38" s="218"/>
      <c r="O38" s="205"/>
    </row>
    <row r="39" s="198" customFormat="1" ht="15" spans="1:15">
      <c r="A39" s="214" t="str">
        <f>IF('[4]step01 標題編集'!A41="","",'[4]step01 標題編集'!A41)</f>
        <v/>
      </c>
      <c r="B39" s="214" t="str">
        <f>IF(step01标题尺码信息!B41="","",step01标题尺码信息!B41)</f>
        <v/>
      </c>
      <c r="C39" s="214"/>
      <c r="D39" s="214"/>
      <c r="E39" s="219" t="str">
        <f>IF(""=IFERROR(VLOOKUP([4]temp!$A$1&amp;"_"&amp;$B39,#REF!,2,FALSE),""),"",IFERROR(VLOOKUP([4]temp!$A$1&amp;"_"&amp;$B39,#REF!,2,FALSE),""))</f>
        <v/>
      </c>
      <c r="F39" s="218"/>
      <c r="G39" s="218"/>
      <c r="H39" s="218"/>
      <c r="I39" s="218"/>
      <c r="J39" s="218"/>
      <c r="K39" s="218"/>
      <c r="L39" s="218"/>
      <c r="M39" s="218"/>
      <c r="N39" s="218"/>
      <c r="O39" s="205"/>
    </row>
    <row r="40" s="198" customFormat="1" ht="15" spans="1:15">
      <c r="A40" s="214" t="str">
        <f>IF('[4]step01 標題編集'!A42="","",'[4]step01 標題編集'!A42)</f>
        <v/>
      </c>
      <c r="B40" s="214" t="str">
        <f>IF(step01标题尺码信息!B42="","",step01标题尺码信息!B42)</f>
        <v/>
      </c>
      <c r="C40" s="214"/>
      <c r="D40" s="214"/>
      <c r="E40" s="219" t="str">
        <f>IF(""=IFERROR(VLOOKUP([4]temp!$A$1&amp;"_"&amp;$B40,#REF!,2,FALSE),""),"",IFERROR(VLOOKUP([4]temp!$A$1&amp;"_"&amp;$B40,#REF!,2,FALSE),""))</f>
        <v/>
      </c>
      <c r="F40" s="218"/>
      <c r="G40" s="218"/>
      <c r="H40" s="218"/>
      <c r="I40" s="218"/>
      <c r="J40" s="218"/>
      <c r="K40" s="218"/>
      <c r="L40" s="218"/>
      <c r="M40" s="218"/>
      <c r="N40" s="218"/>
      <c r="O40" s="205"/>
    </row>
    <row r="41" s="198" customFormat="1" ht="15" spans="1:15">
      <c r="A41" s="214" t="str">
        <f>IF('[4]step01 標題編集'!A43="","",'[4]step01 標題編集'!A43)</f>
        <v/>
      </c>
      <c r="B41" s="214" t="str">
        <f>IF(step01标题尺码信息!B43="","",step01标题尺码信息!B43)</f>
        <v/>
      </c>
      <c r="C41" s="214"/>
      <c r="D41" s="214"/>
      <c r="E41" s="219" t="str">
        <f>IF(""=IFERROR(VLOOKUP([4]temp!$A$1&amp;"_"&amp;$B41,#REF!,2,FALSE),""),"",IFERROR(VLOOKUP([4]temp!$A$1&amp;"_"&amp;$B41,#REF!,2,FALSE),""))</f>
        <v/>
      </c>
      <c r="F41" s="218"/>
      <c r="G41" s="218"/>
      <c r="H41" s="218"/>
      <c r="I41" s="218"/>
      <c r="J41" s="218"/>
      <c r="K41" s="218"/>
      <c r="L41" s="218"/>
      <c r="M41" s="218"/>
      <c r="N41" s="218"/>
      <c r="O41" s="205"/>
    </row>
    <row r="42" s="198" customFormat="1" ht="15" spans="1:15">
      <c r="A42" s="214" t="str">
        <f>IF('[4]step01 標題編集'!A44="","",'[4]step01 標題編集'!A44)</f>
        <v/>
      </c>
      <c r="B42" s="214" t="str">
        <f>IF(step01标题尺码信息!B44="","",step01标题尺码信息!B44)</f>
        <v/>
      </c>
      <c r="C42" s="214"/>
      <c r="D42" s="214"/>
      <c r="E42" s="219" t="str">
        <f>IF(""=IFERROR(VLOOKUP([4]temp!$A$1&amp;"_"&amp;$B42,#REF!,2,FALSE),""),"",IFERROR(VLOOKUP([4]temp!$A$1&amp;"_"&amp;$B42,#REF!,2,FALSE),""))</f>
        <v/>
      </c>
      <c r="F42" s="218"/>
      <c r="G42" s="218"/>
      <c r="H42" s="218"/>
      <c r="I42" s="218"/>
      <c r="J42" s="218"/>
      <c r="K42" s="218"/>
      <c r="L42" s="218"/>
      <c r="M42" s="218"/>
      <c r="N42" s="218"/>
      <c r="O42" s="205"/>
    </row>
    <row r="43" s="198" customFormat="1" ht="15" spans="1:15">
      <c r="A43" s="214" t="str">
        <f>IF('[4]step01 標題編集'!A45="","",'[4]step01 標題編集'!A45)</f>
        <v/>
      </c>
      <c r="B43" s="214" t="str">
        <f>IF(step01标题尺码信息!B45="","",step01标题尺码信息!B45)</f>
        <v/>
      </c>
      <c r="C43" s="214"/>
      <c r="D43" s="214"/>
      <c r="E43" s="219" t="str">
        <f>IF(""=IFERROR(VLOOKUP([4]temp!$A$1&amp;"_"&amp;$B43,#REF!,2,FALSE),""),"",IFERROR(VLOOKUP([4]temp!$A$1&amp;"_"&amp;$B43,#REF!,2,FALSE),""))</f>
        <v/>
      </c>
      <c r="F43" s="218"/>
      <c r="G43" s="218"/>
      <c r="H43" s="218"/>
      <c r="I43" s="218"/>
      <c r="J43" s="218"/>
      <c r="K43" s="218"/>
      <c r="L43" s="218"/>
      <c r="M43" s="218"/>
      <c r="N43" s="218"/>
      <c r="O43" s="205"/>
    </row>
    <row r="44" s="198" customFormat="1" ht="15" spans="1:15">
      <c r="A44" s="214" t="str">
        <f>IF('[4]step01 標題編集'!A46="","",'[4]step01 標題編集'!A46)</f>
        <v/>
      </c>
      <c r="B44" s="214" t="str">
        <f>IF(step01标题尺码信息!B46="","",step01标题尺码信息!B46)</f>
        <v/>
      </c>
      <c r="C44" s="214"/>
      <c r="D44" s="214"/>
      <c r="E44" s="219" t="str">
        <f>IF(""=IFERROR(VLOOKUP([4]temp!$A$1&amp;"_"&amp;$B44,#REF!,2,FALSE),""),"",IFERROR(VLOOKUP([4]temp!$A$1&amp;"_"&amp;$B44,#REF!,2,FALSE),""))</f>
        <v/>
      </c>
      <c r="F44" s="218"/>
      <c r="G44" s="218"/>
      <c r="H44" s="218"/>
      <c r="I44" s="218"/>
      <c r="J44" s="218"/>
      <c r="K44" s="218"/>
      <c r="L44" s="218"/>
      <c r="M44" s="218"/>
      <c r="N44" s="218"/>
      <c r="O44" s="205"/>
    </row>
    <row r="45" s="198" customFormat="1" ht="15" spans="1:15">
      <c r="A45" s="214" t="str">
        <f>IF('[4]step01 標題編集'!A47="","",'[4]step01 標題編集'!A47)</f>
        <v/>
      </c>
      <c r="B45" s="214" t="str">
        <f>IF(step01标题尺码信息!B47="","",step01标题尺码信息!B47)</f>
        <v/>
      </c>
      <c r="C45" s="214"/>
      <c r="D45" s="214"/>
      <c r="E45" s="219" t="str">
        <f>IF(""=IFERROR(VLOOKUP([4]temp!$A$1&amp;"_"&amp;$B45,#REF!,2,FALSE),""),"",IFERROR(VLOOKUP([4]temp!$A$1&amp;"_"&amp;$B45,#REF!,2,FALSE),""))</f>
        <v/>
      </c>
      <c r="F45" s="218"/>
      <c r="G45" s="218"/>
      <c r="H45" s="218"/>
      <c r="I45" s="218"/>
      <c r="J45" s="218"/>
      <c r="K45" s="218"/>
      <c r="L45" s="218"/>
      <c r="M45" s="218"/>
      <c r="N45" s="218"/>
      <c r="O45" s="205"/>
    </row>
    <row r="46" s="198" customFormat="1" ht="15" spans="1:15">
      <c r="A46" s="214" t="str">
        <f>IF('[4]step01 標題編集'!A48="","",'[4]step01 標題編集'!A48)</f>
        <v/>
      </c>
      <c r="B46" s="214" t="str">
        <f>IF(step01标题尺码信息!B48="","",step01标题尺码信息!B48)</f>
        <v/>
      </c>
      <c r="C46" s="214"/>
      <c r="D46" s="214"/>
      <c r="E46" s="219" t="str">
        <f>IF(""=IFERROR(VLOOKUP([4]temp!$A$1&amp;"_"&amp;$B46,#REF!,2,FALSE),""),"",IFERROR(VLOOKUP([4]temp!$A$1&amp;"_"&amp;$B46,#REF!,2,FALSE),""))</f>
        <v/>
      </c>
      <c r="F46" s="218"/>
      <c r="G46" s="218"/>
      <c r="H46" s="218"/>
      <c r="I46" s="218"/>
      <c r="J46" s="218"/>
      <c r="K46" s="218"/>
      <c r="L46" s="218"/>
      <c r="M46" s="218"/>
      <c r="N46" s="218"/>
      <c r="O46" s="205"/>
    </row>
    <row r="47" s="198" customFormat="1" ht="15" spans="1:15">
      <c r="A47" s="214" t="str">
        <f>IF('[4]step01 標題編集'!A49="","",'[4]step01 標題編集'!A49)</f>
        <v/>
      </c>
      <c r="B47" s="214" t="str">
        <f>IF(step01标题尺码信息!B49="","",step01标题尺码信息!B49)</f>
        <v/>
      </c>
      <c r="C47" s="214"/>
      <c r="D47" s="214"/>
      <c r="E47" s="219" t="str">
        <f>IF(""=IFERROR(VLOOKUP([4]temp!$A$1&amp;"_"&amp;$B47,#REF!,2,FALSE),""),"",IFERROR(VLOOKUP([4]temp!$A$1&amp;"_"&amp;$B47,#REF!,2,FALSE),""))</f>
        <v/>
      </c>
      <c r="F47" s="218"/>
      <c r="G47" s="218"/>
      <c r="H47" s="218"/>
      <c r="I47" s="218"/>
      <c r="J47" s="218"/>
      <c r="K47" s="218"/>
      <c r="L47" s="218"/>
      <c r="M47" s="218"/>
      <c r="N47" s="218"/>
      <c r="O47" s="205"/>
    </row>
    <row r="48" s="198" customFormat="1" ht="15" spans="1:15">
      <c r="A48" s="214" t="str">
        <f>IF('[4]step01 標題編集'!A50="","",'[4]step01 標題編集'!A50)</f>
        <v/>
      </c>
      <c r="B48" s="214" t="str">
        <f>IF(step01标题尺码信息!B50="","",step01标题尺码信息!B50)</f>
        <v/>
      </c>
      <c r="C48" s="214"/>
      <c r="D48" s="214"/>
      <c r="E48" s="219" t="str">
        <f>IF(""=IFERROR(VLOOKUP([4]temp!$A$1&amp;"_"&amp;$B48,#REF!,2,FALSE),""),"",IFERROR(VLOOKUP([4]temp!$A$1&amp;"_"&amp;$B48,#REF!,2,FALSE),""))</f>
        <v/>
      </c>
      <c r="F48" s="218"/>
      <c r="G48" s="218"/>
      <c r="H48" s="218"/>
      <c r="I48" s="218"/>
      <c r="J48" s="218"/>
      <c r="K48" s="218"/>
      <c r="L48" s="218"/>
      <c r="M48" s="218"/>
      <c r="N48" s="218"/>
      <c r="O48" s="205"/>
    </row>
    <row r="49" s="198" customFormat="1" ht="15" spans="1:15">
      <c r="A49" s="214" t="str">
        <f>IF('[4]step01 標題編集'!A51="","",'[4]step01 標題編集'!A51)</f>
        <v/>
      </c>
      <c r="B49" s="214" t="str">
        <f>IF(step01标题尺码信息!B51="","",step01标题尺码信息!B51)</f>
        <v/>
      </c>
      <c r="C49" s="214"/>
      <c r="D49" s="214"/>
      <c r="E49" s="219" t="str">
        <f>IF(""=IFERROR(VLOOKUP([4]temp!$A$1&amp;"_"&amp;$B49,#REF!,2,FALSE),""),"",IFERROR(VLOOKUP([4]temp!$A$1&amp;"_"&amp;$B49,#REF!,2,FALSE),""))</f>
        <v/>
      </c>
      <c r="F49" s="218"/>
      <c r="G49" s="218"/>
      <c r="H49" s="218"/>
      <c r="I49" s="218"/>
      <c r="J49" s="218"/>
      <c r="K49" s="218"/>
      <c r="L49" s="218"/>
      <c r="M49" s="218"/>
      <c r="N49" s="218"/>
      <c r="O49" s="205"/>
    </row>
    <row r="50" s="198" customFormat="1" ht="15" spans="1:15">
      <c r="A50" s="214" t="str">
        <f>IF('[4]step01 標題編集'!A52="","",'[4]step01 標題編集'!A52)</f>
        <v/>
      </c>
      <c r="B50" s="214" t="str">
        <f>IF(step01标题尺码信息!B52="","",step01标题尺码信息!B52)</f>
        <v/>
      </c>
      <c r="C50" s="214"/>
      <c r="D50" s="214"/>
      <c r="E50" s="219" t="str">
        <f>IF(""=IFERROR(VLOOKUP([4]temp!$A$1&amp;"_"&amp;$B50,#REF!,2,FALSE),""),"",IFERROR(VLOOKUP([4]temp!$A$1&amp;"_"&amp;$B50,#REF!,2,FALSE),""))</f>
        <v/>
      </c>
      <c r="F50" s="218"/>
      <c r="G50" s="218"/>
      <c r="H50" s="218"/>
      <c r="I50" s="218"/>
      <c r="J50" s="218"/>
      <c r="K50" s="218"/>
      <c r="L50" s="218"/>
      <c r="M50" s="218"/>
      <c r="N50" s="218"/>
      <c r="O50" s="205"/>
    </row>
    <row r="51" s="198" customFormat="1" ht="15" spans="1:15">
      <c r="A51" s="214" t="str">
        <f>IF('[4]step01 標題編集'!A53="","",'[4]step01 標題編集'!A53)</f>
        <v/>
      </c>
      <c r="B51" s="214" t="str">
        <f>IF(step01标题尺码信息!B53="","",step01标题尺码信息!B53)</f>
        <v/>
      </c>
      <c r="C51" s="214"/>
      <c r="D51" s="214"/>
      <c r="E51" s="219" t="str">
        <f>IF(""=IFERROR(VLOOKUP([4]temp!$A$1&amp;"_"&amp;$B51,#REF!,2,FALSE),""),"",IFERROR(VLOOKUP([4]temp!$A$1&amp;"_"&amp;$B51,#REF!,2,FALSE),""))</f>
        <v/>
      </c>
      <c r="F51" s="218"/>
      <c r="G51" s="218"/>
      <c r="H51" s="218"/>
      <c r="I51" s="218"/>
      <c r="J51" s="218"/>
      <c r="K51" s="218"/>
      <c r="L51" s="218"/>
      <c r="M51" s="218"/>
      <c r="N51" s="218"/>
      <c r="O51" s="205"/>
    </row>
    <row r="52" s="198" customFormat="1" ht="15" spans="1:15">
      <c r="A52" s="214" t="str">
        <f>IF('[4]step01 標題編集'!A54="","",'[4]step01 標題編集'!A54)</f>
        <v/>
      </c>
      <c r="B52" s="214" t="str">
        <f>IF(step01标题尺码信息!B54="","",step01标题尺码信息!B54)</f>
        <v/>
      </c>
      <c r="C52" s="214"/>
      <c r="D52" s="214"/>
      <c r="E52" s="219" t="str">
        <f>IF(""=IFERROR(VLOOKUP([4]temp!$A$1&amp;"_"&amp;$B52,#REF!,2,FALSE),""),"",IFERROR(VLOOKUP([4]temp!$A$1&amp;"_"&amp;$B52,#REF!,2,FALSE),""))</f>
        <v/>
      </c>
      <c r="F52" s="218"/>
      <c r="G52" s="218"/>
      <c r="H52" s="218"/>
      <c r="I52" s="218"/>
      <c r="J52" s="218"/>
      <c r="K52" s="218"/>
      <c r="L52" s="218"/>
      <c r="M52" s="218"/>
      <c r="N52" s="218"/>
      <c r="O52" s="205"/>
    </row>
    <row r="53" s="198" customFormat="1" ht="15" spans="1:15">
      <c r="A53" s="214" t="str">
        <f>IF('[4]step01 標題編集'!A55="","",'[4]step01 標題編集'!A55)</f>
        <v/>
      </c>
      <c r="B53" s="214" t="str">
        <f>IF(step01标题尺码信息!B55="","",step01标题尺码信息!B55)</f>
        <v/>
      </c>
      <c r="C53" s="214"/>
      <c r="D53" s="214"/>
      <c r="E53" s="219" t="str">
        <f>IF(""=IFERROR(VLOOKUP([4]temp!$A$1&amp;"_"&amp;$B53,#REF!,2,FALSE),""),"",IFERROR(VLOOKUP([4]temp!$A$1&amp;"_"&amp;$B53,#REF!,2,FALSE),""))</f>
        <v/>
      </c>
      <c r="F53" s="218"/>
      <c r="G53" s="218"/>
      <c r="H53" s="218"/>
      <c r="I53" s="218"/>
      <c r="J53" s="218"/>
      <c r="K53" s="218"/>
      <c r="L53" s="218"/>
      <c r="M53" s="218"/>
      <c r="N53" s="218"/>
      <c r="O53" s="205"/>
    </row>
    <row r="54" s="198" customFormat="1" ht="15" spans="1:15">
      <c r="A54" s="214" t="str">
        <f>IF('[4]step01 標題編集'!A56="","",'[4]step01 標題編集'!A56)</f>
        <v/>
      </c>
      <c r="B54" s="214" t="str">
        <f>IF(step01标题尺码信息!B56="","",step01标题尺码信息!B56)</f>
        <v/>
      </c>
      <c r="C54" s="214"/>
      <c r="D54" s="214"/>
      <c r="E54" s="219" t="str">
        <f>IF(""=IFERROR(VLOOKUP([4]temp!$A$1&amp;"_"&amp;$B54,#REF!,2,FALSE),""),"",IFERROR(VLOOKUP([4]temp!$A$1&amp;"_"&amp;$B54,#REF!,2,FALSE),""))</f>
        <v/>
      </c>
      <c r="F54" s="218"/>
      <c r="G54" s="218"/>
      <c r="H54" s="218"/>
      <c r="I54" s="218"/>
      <c r="J54" s="218"/>
      <c r="K54" s="218"/>
      <c r="L54" s="218"/>
      <c r="M54" s="218"/>
      <c r="N54" s="218"/>
      <c r="O54" s="205"/>
    </row>
    <row r="55" s="198" customFormat="1" ht="15" spans="1:15">
      <c r="A55" s="214" t="str">
        <f>IF('[4]step01 標題編集'!A57="","",'[4]step01 標題編集'!A57)</f>
        <v/>
      </c>
      <c r="B55" s="214" t="str">
        <f>IF(step01标题尺码信息!B57="","",step01标题尺码信息!B57)</f>
        <v/>
      </c>
      <c r="C55" s="214"/>
      <c r="D55" s="214"/>
      <c r="E55" s="219" t="str">
        <f>IF(""=IFERROR(VLOOKUP([4]temp!$A$1&amp;"_"&amp;$B55,#REF!,2,FALSE),""),"",IFERROR(VLOOKUP([4]temp!$A$1&amp;"_"&amp;$B55,#REF!,2,FALSE),""))</f>
        <v/>
      </c>
      <c r="F55" s="218"/>
      <c r="G55" s="218"/>
      <c r="H55" s="218"/>
      <c r="I55" s="218"/>
      <c r="J55" s="218"/>
      <c r="K55" s="218"/>
      <c r="L55" s="218"/>
      <c r="M55" s="218"/>
      <c r="N55" s="218"/>
      <c r="O55" s="205"/>
    </row>
    <row r="56" s="198" customFormat="1" ht="15" spans="1:15">
      <c r="A56" s="214" t="str">
        <f>IF('[4]step01 標題編集'!A58="","",'[4]step01 標題編集'!A58)</f>
        <v/>
      </c>
      <c r="B56" s="214" t="str">
        <f>IF(step01标题尺码信息!B58="","",step01标题尺码信息!B58)</f>
        <v/>
      </c>
      <c r="C56" s="214"/>
      <c r="D56" s="214"/>
      <c r="E56" s="219" t="str">
        <f>IF(""=IFERROR(VLOOKUP([4]temp!$A$1&amp;"_"&amp;$B56,#REF!,2,FALSE),""),"",IFERROR(VLOOKUP([4]temp!$A$1&amp;"_"&amp;$B56,#REF!,2,FALSE),""))</f>
        <v/>
      </c>
      <c r="F56" s="218"/>
      <c r="G56" s="218"/>
      <c r="H56" s="218"/>
      <c r="I56" s="218"/>
      <c r="J56" s="218"/>
      <c r="K56" s="218"/>
      <c r="L56" s="218"/>
      <c r="M56" s="218"/>
      <c r="N56" s="218"/>
      <c r="O56" s="205"/>
    </row>
    <row r="57" s="198" customFormat="1" ht="15" spans="1:15">
      <c r="A57" s="214" t="str">
        <f>IF('[4]step01 標題編集'!A59="","",'[4]step01 標題編集'!A59)</f>
        <v/>
      </c>
      <c r="B57" s="214" t="str">
        <f>IF(step01标题尺码信息!B59="","",step01标题尺码信息!B59)</f>
        <v/>
      </c>
      <c r="C57" s="214"/>
      <c r="D57" s="214"/>
      <c r="E57" s="219" t="str">
        <f>IF(""=IFERROR(VLOOKUP([4]temp!$A$1&amp;"_"&amp;$B57,#REF!,2,FALSE),""),"",IFERROR(VLOOKUP([4]temp!$A$1&amp;"_"&amp;$B57,#REF!,2,FALSE),""))</f>
        <v/>
      </c>
      <c r="F57" s="218"/>
      <c r="G57" s="218"/>
      <c r="H57" s="218"/>
      <c r="I57" s="218"/>
      <c r="J57" s="218"/>
      <c r="K57" s="218"/>
      <c r="L57" s="218"/>
      <c r="M57" s="218"/>
      <c r="N57" s="218"/>
      <c r="O57" s="205"/>
    </row>
    <row r="58" s="198" customFormat="1" ht="15" spans="1:15">
      <c r="A58" s="214" t="str">
        <f>IF('[4]step01 標題編集'!A60="","",'[4]step01 標題編集'!A60)</f>
        <v/>
      </c>
      <c r="B58" s="214" t="str">
        <f>IF(step01标题尺码信息!B60="","",step01标题尺码信息!B60)</f>
        <v/>
      </c>
      <c r="C58" s="214"/>
      <c r="D58" s="214"/>
      <c r="E58" s="219" t="str">
        <f>IF(""=IFERROR(VLOOKUP([4]temp!$A$1&amp;"_"&amp;$B58,#REF!,2,FALSE),""),"",IFERROR(VLOOKUP([4]temp!$A$1&amp;"_"&amp;$B58,#REF!,2,FALSE),""))</f>
        <v/>
      </c>
      <c r="F58" s="218"/>
      <c r="G58" s="218"/>
      <c r="H58" s="218"/>
      <c r="I58" s="218"/>
      <c r="J58" s="218"/>
      <c r="K58" s="218"/>
      <c r="L58" s="218"/>
      <c r="M58" s="218"/>
      <c r="N58" s="218"/>
      <c r="O58" s="205"/>
    </row>
    <row r="59" s="198" customFormat="1" ht="15" spans="1:15">
      <c r="A59" s="214" t="str">
        <f>IF('[4]step01 標題編集'!A61="","",'[4]step01 標題編集'!A61)</f>
        <v/>
      </c>
      <c r="B59" s="214" t="str">
        <f>IF(step01标题尺码信息!B61="","",step01标题尺码信息!B61)</f>
        <v/>
      </c>
      <c r="C59" s="214"/>
      <c r="D59" s="214"/>
      <c r="E59" s="219" t="str">
        <f>IF(""=IFERROR(VLOOKUP([4]temp!$A$1&amp;"_"&amp;$B59,#REF!,2,FALSE),""),"",IFERROR(VLOOKUP([4]temp!$A$1&amp;"_"&amp;$B59,#REF!,2,FALSE),""))</f>
        <v/>
      </c>
      <c r="F59" s="218"/>
      <c r="G59" s="218"/>
      <c r="H59" s="218"/>
      <c r="I59" s="218"/>
      <c r="J59" s="218"/>
      <c r="K59" s="218"/>
      <c r="L59" s="218"/>
      <c r="M59" s="218"/>
      <c r="N59" s="218"/>
      <c r="O59" s="205"/>
    </row>
    <row r="60" s="198" customFormat="1" ht="15" spans="1:15">
      <c r="A60" s="214" t="str">
        <f>IF('[4]step01 標題編集'!A62="","",'[4]step01 標題編集'!A62)</f>
        <v/>
      </c>
      <c r="B60" s="214" t="str">
        <f>IF(step01标题尺码信息!B62="","",step01标题尺码信息!B62)</f>
        <v/>
      </c>
      <c r="C60" s="214"/>
      <c r="D60" s="214"/>
      <c r="E60" s="219" t="str">
        <f>IF(""=IFERROR(VLOOKUP([4]temp!$A$1&amp;"_"&amp;$B60,#REF!,2,FALSE),""),"",IFERROR(VLOOKUP([4]temp!$A$1&amp;"_"&amp;$B60,#REF!,2,FALSE),""))</f>
        <v/>
      </c>
      <c r="F60" s="218"/>
      <c r="G60" s="218"/>
      <c r="H60" s="218"/>
      <c r="I60" s="218"/>
      <c r="J60" s="218"/>
      <c r="K60" s="218"/>
      <c r="L60" s="218"/>
      <c r="M60" s="218"/>
      <c r="N60" s="218"/>
      <c r="O60" s="205"/>
    </row>
    <row r="61" s="198" customFormat="1" ht="15" spans="1:15">
      <c r="A61" s="214" t="str">
        <f>IF('[4]step01 標題編集'!A63="","",'[4]step01 標題編集'!A63)</f>
        <v/>
      </c>
      <c r="B61" s="214" t="str">
        <f>IF(step01标题尺码信息!B63="","",step01标题尺码信息!B63)</f>
        <v/>
      </c>
      <c r="C61" s="214"/>
      <c r="D61" s="214"/>
      <c r="E61" s="219" t="str">
        <f>IF(""=IFERROR(VLOOKUP([4]temp!$A$1&amp;"_"&amp;$B61,#REF!,2,FALSE),""),"",IFERROR(VLOOKUP([4]temp!$A$1&amp;"_"&amp;$B61,#REF!,2,FALSE),""))</f>
        <v/>
      </c>
      <c r="F61" s="218"/>
      <c r="G61" s="218"/>
      <c r="H61" s="218"/>
      <c r="I61" s="218"/>
      <c r="J61" s="218"/>
      <c r="K61" s="218"/>
      <c r="L61" s="218"/>
      <c r="M61" s="218"/>
      <c r="N61" s="218"/>
      <c r="O61" s="205"/>
    </row>
    <row r="62" s="198" customFormat="1" ht="15" spans="1:15">
      <c r="A62" s="214" t="str">
        <f>IF('[4]step01 標題編集'!A64="","",'[4]step01 標題編集'!A64)</f>
        <v/>
      </c>
      <c r="B62" s="214" t="str">
        <f>IF(step01标题尺码信息!B64="","",step01标题尺码信息!B64)</f>
        <v/>
      </c>
      <c r="C62" s="214"/>
      <c r="D62" s="214"/>
      <c r="E62" s="219" t="str">
        <f>IF(""=IFERROR(VLOOKUP([4]temp!$A$1&amp;"_"&amp;$B62,#REF!,2,FALSE),""),"",IFERROR(VLOOKUP([4]temp!$A$1&amp;"_"&amp;$B62,#REF!,2,FALSE),""))</f>
        <v/>
      </c>
      <c r="F62" s="218"/>
      <c r="G62" s="218"/>
      <c r="H62" s="218"/>
      <c r="I62" s="218"/>
      <c r="J62" s="218"/>
      <c r="K62" s="218"/>
      <c r="L62" s="218"/>
      <c r="M62" s="218"/>
      <c r="N62" s="218"/>
      <c r="O62" s="205"/>
    </row>
    <row r="63" s="198" customFormat="1" ht="15" spans="1:15">
      <c r="A63" s="214" t="str">
        <f>IF('[4]step01 標題編集'!A65="","",'[4]step01 標題編集'!A65)</f>
        <v/>
      </c>
      <c r="B63" s="214" t="str">
        <f>IF(step01标题尺码信息!B65="","",step01标题尺码信息!B65)</f>
        <v/>
      </c>
      <c r="C63" s="214"/>
      <c r="D63" s="214"/>
      <c r="E63" s="219" t="str">
        <f>IF(""=IFERROR(VLOOKUP([4]temp!$A$1&amp;"_"&amp;$B63,#REF!,2,FALSE),""),"",IFERROR(VLOOKUP([4]temp!$A$1&amp;"_"&amp;$B63,#REF!,2,FALSE),""))</f>
        <v/>
      </c>
      <c r="F63" s="218"/>
      <c r="G63" s="218"/>
      <c r="H63" s="218"/>
      <c r="I63" s="218"/>
      <c r="J63" s="218"/>
      <c r="K63" s="218"/>
      <c r="L63" s="218"/>
      <c r="M63" s="218"/>
      <c r="N63" s="218"/>
      <c r="O63" s="205"/>
    </row>
    <row r="64" s="198" customFormat="1" ht="15" spans="1:15">
      <c r="A64" s="214" t="str">
        <f>IF('[4]step01 標題編集'!A66="","",'[4]step01 標題編集'!A66)</f>
        <v/>
      </c>
      <c r="B64" s="214" t="str">
        <f>IF(step01标题尺码信息!B66="","",step01标题尺码信息!B66)</f>
        <v/>
      </c>
      <c r="C64" s="214"/>
      <c r="D64" s="214"/>
      <c r="E64" s="219" t="str">
        <f>IF(""=IFERROR(VLOOKUP([4]temp!$A$1&amp;"_"&amp;$B64,#REF!,2,FALSE),""),"",IFERROR(VLOOKUP([4]temp!$A$1&amp;"_"&amp;$B64,#REF!,2,FALSE),""))</f>
        <v/>
      </c>
      <c r="F64" s="218"/>
      <c r="G64" s="218"/>
      <c r="H64" s="218"/>
      <c r="I64" s="218"/>
      <c r="J64" s="218"/>
      <c r="K64" s="218"/>
      <c r="L64" s="218"/>
      <c r="M64" s="218"/>
      <c r="N64" s="218"/>
      <c r="O64" s="205"/>
    </row>
    <row r="65" s="198" customFormat="1" ht="15" spans="1:15">
      <c r="A65" s="214" t="str">
        <f>IF('[4]step01 標題編集'!A67="","",'[4]step01 標題編集'!A67)</f>
        <v/>
      </c>
      <c r="B65" s="214" t="str">
        <f>IF(step01标题尺码信息!B67="","",step01标题尺码信息!B67)</f>
        <v/>
      </c>
      <c r="C65" s="214"/>
      <c r="D65" s="214"/>
      <c r="E65" s="219" t="str">
        <f>IF(""=IFERROR(VLOOKUP([4]temp!$A$1&amp;"_"&amp;$B65,#REF!,2,FALSE),""),"",IFERROR(VLOOKUP([4]temp!$A$1&amp;"_"&amp;$B65,#REF!,2,FALSE),""))</f>
        <v/>
      </c>
      <c r="F65" s="218"/>
      <c r="G65" s="218"/>
      <c r="H65" s="218"/>
      <c r="I65" s="218"/>
      <c r="J65" s="218"/>
      <c r="K65" s="218"/>
      <c r="L65" s="218"/>
      <c r="M65" s="218"/>
      <c r="N65" s="218"/>
      <c r="O65" s="205"/>
    </row>
    <row r="66" s="198" customFormat="1" ht="15" spans="1:15">
      <c r="A66" s="214" t="str">
        <f>IF('[4]step01 標題編集'!A68="","",'[4]step01 標題編集'!A68)</f>
        <v/>
      </c>
      <c r="B66" s="214" t="str">
        <f>IF(step01标题尺码信息!B68="","",step01标题尺码信息!B68)</f>
        <v/>
      </c>
      <c r="C66" s="214"/>
      <c r="D66" s="214"/>
      <c r="E66" s="219" t="str">
        <f>IF(""=IFERROR(VLOOKUP([4]temp!$A$1&amp;"_"&amp;$B66,#REF!,2,FALSE),""),"",IFERROR(VLOOKUP([4]temp!$A$1&amp;"_"&amp;$B66,#REF!,2,FALSE),""))</f>
        <v/>
      </c>
      <c r="F66" s="218"/>
      <c r="G66" s="218"/>
      <c r="H66" s="218"/>
      <c r="I66" s="218"/>
      <c r="J66" s="218"/>
      <c r="K66" s="218"/>
      <c r="L66" s="218"/>
      <c r="M66" s="218"/>
      <c r="N66" s="218"/>
      <c r="O66" s="205"/>
    </row>
    <row r="67" s="198" customFormat="1" ht="15" spans="1:15">
      <c r="A67" s="214" t="str">
        <f>IF('[4]step01 標題編集'!A69="","",'[4]step01 標題編集'!A69)</f>
        <v/>
      </c>
      <c r="B67" s="214" t="str">
        <f>IF(step01标题尺码信息!B69="","",step01标题尺码信息!B69)</f>
        <v/>
      </c>
      <c r="C67" s="214"/>
      <c r="D67" s="214"/>
      <c r="E67" s="219" t="str">
        <f>IF(""=IFERROR(VLOOKUP([4]temp!$A$1&amp;"_"&amp;$B67,#REF!,2,FALSE),""),"",IFERROR(VLOOKUP([4]temp!$A$1&amp;"_"&amp;$B67,#REF!,2,FALSE),""))</f>
        <v/>
      </c>
      <c r="F67" s="218"/>
      <c r="G67" s="218"/>
      <c r="H67" s="218"/>
      <c r="I67" s="218"/>
      <c r="J67" s="218"/>
      <c r="K67" s="218"/>
      <c r="L67" s="218"/>
      <c r="M67" s="218"/>
      <c r="N67" s="218"/>
      <c r="O67" s="205"/>
    </row>
    <row r="68" s="198" customFormat="1" ht="15" spans="1:15">
      <c r="A68" s="214" t="str">
        <f>IF('[4]step01 標題編集'!A70="","",'[4]step01 標題編集'!A70)</f>
        <v/>
      </c>
      <c r="B68" s="214" t="str">
        <f>IF(step01标题尺码信息!B70="","",step01标题尺码信息!B70)</f>
        <v/>
      </c>
      <c r="C68" s="214"/>
      <c r="D68" s="214"/>
      <c r="E68" s="219" t="str">
        <f>IF(""=IFERROR(VLOOKUP([4]temp!$A$1&amp;"_"&amp;$B68,#REF!,2,FALSE),""),"",IFERROR(VLOOKUP([4]temp!$A$1&amp;"_"&amp;$B68,#REF!,2,FALSE),""))</f>
        <v/>
      </c>
      <c r="F68" s="218"/>
      <c r="G68" s="218"/>
      <c r="H68" s="218"/>
      <c r="I68" s="218"/>
      <c r="J68" s="218"/>
      <c r="K68" s="218"/>
      <c r="L68" s="218"/>
      <c r="M68" s="218"/>
      <c r="N68" s="218"/>
      <c r="O68" s="205"/>
    </row>
    <row r="69" s="198" customFormat="1" ht="15" spans="1:15">
      <c r="A69" s="214" t="str">
        <f>IF('[4]step01 標題編集'!A71="","",'[4]step01 標題編集'!A71)</f>
        <v/>
      </c>
      <c r="B69" s="214" t="str">
        <f>IF(step01标题尺码信息!B71="","",step01标题尺码信息!B71)</f>
        <v/>
      </c>
      <c r="C69" s="214"/>
      <c r="D69" s="214"/>
      <c r="E69" s="219" t="str">
        <f>IF(""=IFERROR(VLOOKUP([4]temp!$A$1&amp;"_"&amp;$B69,#REF!,2,FALSE),""),"",IFERROR(VLOOKUP([4]temp!$A$1&amp;"_"&amp;$B69,#REF!,2,FALSE),""))</f>
        <v/>
      </c>
      <c r="F69" s="218"/>
      <c r="G69" s="218"/>
      <c r="H69" s="218"/>
      <c r="I69" s="218"/>
      <c r="J69" s="218"/>
      <c r="K69" s="218"/>
      <c r="L69" s="218"/>
      <c r="M69" s="218"/>
      <c r="N69" s="218"/>
      <c r="O69" s="205"/>
    </row>
    <row r="70" s="198" customFormat="1" ht="15" spans="1:15">
      <c r="A70" s="214" t="str">
        <f>IF('[4]step01 標題編集'!A72="","",'[4]step01 標題編集'!A72)</f>
        <v/>
      </c>
      <c r="B70" s="214" t="str">
        <f>IF(step01标题尺码信息!B72="","",step01标题尺码信息!B72)</f>
        <v/>
      </c>
      <c r="C70" s="214"/>
      <c r="D70" s="214"/>
      <c r="E70" s="219" t="str">
        <f>IF(""=IFERROR(VLOOKUP([4]temp!$A$1&amp;"_"&amp;$B70,#REF!,2,FALSE),""),"",IFERROR(VLOOKUP([4]temp!$A$1&amp;"_"&amp;$B70,#REF!,2,FALSE),""))</f>
        <v/>
      </c>
      <c r="F70" s="218"/>
      <c r="G70" s="218"/>
      <c r="H70" s="218"/>
      <c r="I70" s="218"/>
      <c r="J70" s="218"/>
      <c r="K70" s="218"/>
      <c r="L70" s="218"/>
      <c r="M70" s="218"/>
      <c r="N70" s="218"/>
      <c r="O70" s="205"/>
    </row>
    <row r="71" s="198" customFormat="1" ht="15" spans="1:15">
      <c r="A71" s="214" t="str">
        <f>IF('[4]step01 標題編集'!A73="","",'[4]step01 標題編集'!A73)</f>
        <v/>
      </c>
      <c r="B71" s="214" t="str">
        <f>IF(step01标题尺码信息!B73="","",step01标题尺码信息!B73)</f>
        <v/>
      </c>
      <c r="C71" s="214"/>
      <c r="D71" s="214"/>
      <c r="E71" s="219" t="str">
        <f>IF(""=IFERROR(VLOOKUP([4]temp!$A$1&amp;"_"&amp;$B71,#REF!,2,FALSE),""),"",IFERROR(VLOOKUP([4]temp!$A$1&amp;"_"&amp;$B71,#REF!,2,FALSE),""))</f>
        <v/>
      </c>
      <c r="F71" s="218"/>
      <c r="G71" s="218"/>
      <c r="H71" s="218"/>
      <c r="I71" s="218"/>
      <c r="J71" s="218"/>
      <c r="K71" s="218"/>
      <c r="L71" s="218"/>
      <c r="M71" s="218"/>
      <c r="N71" s="218"/>
      <c r="O71" s="205"/>
    </row>
    <row r="72" s="198" customFormat="1" ht="15" spans="1:15">
      <c r="A72" s="214" t="str">
        <f>IF('[4]step01 標題編集'!A74="","",'[4]step01 標題編集'!A74)</f>
        <v/>
      </c>
      <c r="B72" s="214" t="str">
        <f>IF(step01标题尺码信息!B74="","",step01标题尺码信息!B74)</f>
        <v/>
      </c>
      <c r="C72" s="214"/>
      <c r="D72" s="214"/>
      <c r="E72" s="219" t="str">
        <f>IF(""=IFERROR(VLOOKUP([4]temp!$A$1&amp;"_"&amp;$B72,#REF!,2,FALSE),""),"",IFERROR(VLOOKUP([4]temp!$A$1&amp;"_"&amp;$B72,#REF!,2,FALSE),""))</f>
        <v/>
      </c>
      <c r="F72" s="218"/>
      <c r="G72" s="218"/>
      <c r="H72" s="218"/>
      <c r="I72" s="218"/>
      <c r="J72" s="218"/>
      <c r="K72" s="218"/>
      <c r="L72" s="218"/>
      <c r="M72" s="218"/>
      <c r="N72" s="218"/>
      <c r="O72" s="205"/>
    </row>
    <row r="73" s="198" customFormat="1" ht="15" spans="1:15">
      <c r="A73" s="214" t="str">
        <f>IF('[4]step01 標題編集'!A75="","",'[4]step01 標題編集'!A75)</f>
        <v/>
      </c>
      <c r="B73" s="214" t="str">
        <f>IF(step01标题尺码信息!B75="","",step01标题尺码信息!B75)</f>
        <v/>
      </c>
      <c r="C73" s="214"/>
      <c r="D73" s="214"/>
      <c r="E73" s="219" t="str">
        <f>IF(""=IFERROR(VLOOKUP([4]temp!$A$1&amp;"_"&amp;$B73,#REF!,2,FALSE),""),"",IFERROR(VLOOKUP([4]temp!$A$1&amp;"_"&amp;$B73,#REF!,2,FALSE),""))</f>
        <v/>
      </c>
      <c r="F73" s="218"/>
      <c r="G73" s="218"/>
      <c r="H73" s="218"/>
      <c r="I73" s="218"/>
      <c r="J73" s="218"/>
      <c r="K73" s="218"/>
      <c r="L73" s="218"/>
      <c r="M73" s="218"/>
      <c r="N73" s="218"/>
      <c r="O73" s="205"/>
    </row>
    <row r="74" s="198" customFormat="1" ht="15" spans="1:15">
      <c r="A74" s="214" t="str">
        <f>IF('[4]step01 標題編集'!A76="","",'[4]step01 標題編集'!A76)</f>
        <v/>
      </c>
      <c r="B74" s="214" t="str">
        <f>IF(step01标题尺码信息!B76="","",step01标题尺码信息!B76)</f>
        <v/>
      </c>
      <c r="C74" s="214"/>
      <c r="D74" s="214"/>
      <c r="E74" s="219" t="str">
        <f>IF(""=IFERROR(VLOOKUP([4]temp!$A$1&amp;"_"&amp;$B74,#REF!,2,FALSE),""),"",IFERROR(VLOOKUP([4]temp!$A$1&amp;"_"&amp;$B74,#REF!,2,FALSE),""))</f>
        <v/>
      </c>
      <c r="F74" s="218"/>
      <c r="G74" s="218"/>
      <c r="H74" s="218"/>
      <c r="I74" s="218"/>
      <c r="J74" s="218"/>
      <c r="K74" s="218"/>
      <c r="L74" s="218"/>
      <c r="M74" s="218"/>
      <c r="N74" s="218"/>
      <c r="O74" s="205"/>
    </row>
    <row r="75" s="198" customFormat="1" ht="15" spans="1:15">
      <c r="A75" s="214" t="str">
        <f>IF('[4]step01 標題編集'!A77="","",'[4]step01 標題編集'!A77)</f>
        <v/>
      </c>
      <c r="B75" s="214" t="str">
        <f>IF(step01标题尺码信息!B77="","",step01标题尺码信息!B77)</f>
        <v/>
      </c>
      <c r="C75" s="214"/>
      <c r="D75" s="214"/>
      <c r="E75" s="219" t="str">
        <f>IF(""=IFERROR(VLOOKUP([4]temp!$A$1&amp;"_"&amp;$B75,#REF!,2,FALSE),""),"",IFERROR(VLOOKUP([4]temp!$A$1&amp;"_"&amp;$B75,#REF!,2,FALSE),""))</f>
        <v/>
      </c>
      <c r="F75" s="218"/>
      <c r="G75" s="218"/>
      <c r="H75" s="218"/>
      <c r="I75" s="218"/>
      <c r="J75" s="218"/>
      <c r="K75" s="218"/>
      <c r="L75" s="218"/>
      <c r="M75" s="218"/>
      <c r="N75" s="218"/>
      <c r="O75" s="205"/>
    </row>
    <row r="76" s="198" customFormat="1" ht="15" spans="1:15">
      <c r="A76" s="214" t="str">
        <f>IF('[4]step01 標題編集'!A78="","",'[4]step01 標題編集'!A78)</f>
        <v/>
      </c>
      <c r="B76" s="214" t="str">
        <f>IF(step01标题尺码信息!B78="","",step01标题尺码信息!B78)</f>
        <v/>
      </c>
      <c r="C76" s="214"/>
      <c r="D76" s="214"/>
      <c r="E76" s="219" t="str">
        <f>IF(""=IFERROR(VLOOKUP([4]temp!$A$1&amp;"_"&amp;$B76,#REF!,2,FALSE),""),"",IFERROR(VLOOKUP([4]temp!$A$1&amp;"_"&amp;$B76,#REF!,2,FALSE),""))</f>
        <v/>
      </c>
      <c r="F76" s="218"/>
      <c r="G76" s="218"/>
      <c r="H76" s="218"/>
      <c r="I76" s="218"/>
      <c r="J76" s="218"/>
      <c r="K76" s="218"/>
      <c r="L76" s="218"/>
      <c r="M76" s="218"/>
      <c r="N76" s="218"/>
      <c r="O76" s="205"/>
    </row>
    <row r="77" s="198" customFormat="1" ht="15" spans="1:15">
      <c r="A77" s="214" t="str">
        <f>IF('[4]step01 標題編集'!A79="","",'[4]step01 標題編集'!A79)</f>
        <v/>
      </c>
      <c r="B77" s="214" t="str">
        <f>IF(step01标题尺码信息!B79="","",step01标题尺码信息!B79)</f>
        <v/>
      </c>
      <c r="C77" s="214"/>
      <c r="D77" s="214"/>
      <c r="E77" s="219" t="str">
        <f>IF(""=IFERROR(VLOOKUP([4]temp!$A$1&amp;"_"&amp;$B77,#REF!,2,FALSE),""),"",IFERROR(VLOOKUP([4]temp!$A$1&amp;"_"&amp;$B77,#REF!,2,FALSE),""))</f>
        <v/>
      </c>
      <c r="F77" s="218"/>
      <c r="G77" s="218"/>
      <c r="H77" s="218"/>
      <c r="I77" s="218"/>
      <c r="J77" s="218"/>
      <c r="K77" s="218"/>
      <c r="L77" s="218"/>
      <c r="M77" s="218"/>
      <c r="N77" s="218"/>
      <c r="O77" s="205"/>
    </row>
    <row r="78" s="198" customFormat="1" ht="15" spans="1:15">
      <c r="A78" s="214" t="str">
        <f>IF('[4]step01 標題編集'!A80="","",'[4]step01 標題編集'!A80)</f>
        <v/>
      </c>
      <c r="B78" s="214" t="str">
        <f>IF(step01标题尺码信息!B80="","",step01标题尺码信息!B80)</f>
        <v/>
      </c>
      <c r="C78" s="214"/>
      <c r="D78" s="214"/>
      <c r="E78" s="219" t="str">
        <f>IF(""=IFERROR(VLOOKUP([4]temp!$A$1&amp;"_"&amp;$B78,#REF!,2,FALSE),""),"",IFERROR(VLOOKUP([4]temp!$A$1&amp;"_"&amp;$B78,#REF!,2,FALSE),""))</f>
        <v/>
      </c>
      <c r="F78" s="218"/>
      <c r="G78" s="218"/>
      <c r="H78" s="218"/>
      <c r="I78" s="218"/>
      <c r="J78" s="218"/>
      <c r="K78" s="218"/>
      <c r="L78" s="218"/>
      <c r="M78" s="218"/>
      <c r="N78" s="218"/>
      <c r="O78" s="205"/>
    </row>
    <row r="79" s="198" customFormat="1" ht="15" spans="1:15">
      <c r="A79" s="214" t="str">
        <f>IF('[4]step01 標題編集'!A81="","",'[4]step01 標題編集'!A81)</f>
        <v/>
      </c>
      <c r="B79" s="214" t="str">
        <f>IF(step01标题尺码信息!B81="","",step01标题尺码信息!B81)</f>
        <v/>
      </c>
      <c r="C79" s="214"/>
      <c r="D79" s="214"/>
      <c r="E79" s="219" t="str">
        <f>IF(""=IFERROR(VLOOKUP([4]temp!$A$1&amp;"_"&amp;$B79,#REF!,2,FALSE),""),"",IFERROR(VLOOKUP([4]temp!$A$1&amp;"_"&amp;$B79,#REF!,2,FALSE),""))</f>
        <v/>
      </c>
      <c r="F79" s="218"/>
      <c r="G79" s="218"/>
      <c r="H79" s="218"/>
      <c r="I79" s="218"/>
      <c r="J79" s="218"/>
      <c r="K79" s="218"/>
      <c r="L79" s="218"/>
      <c r="M79" s="218"/>
      <c r="N79" s="218"/>
      <c r="O79" s="205"/>
    </row>
    <row r="80" s="198" customFormat="1" ht="15" spans="1:15">
      <c r="A80" s="214" t="str">
        <f>IF('[4]step01 標題編集'!A82="","",'[4]step01 標題編集'!A82)</f>
        <v/>
      </c>
      <c r="B80" s="214" t="str">
        <f>IF(step01标题尺码信息!B82="","",step01标题尺码信息!B82)</f>
        <v/>
      </c>
      <c r="C80" s="214"/>
      <c r="D80" s="214"/>
      <c r="E80" s="219" t="str">
        <f>IF(""=IFERROR(VLOOKUP([4]temp!$A$1&amp;"_"&amp;$B80,#REF!,2,FALSE),""),"",IFERROR(VLOOKUP([4]temp!$A$1&amp;"_"&amp;$B80,#REF!,2,FALSE),""))</f>
        <v/>
      </c>
      <c r="F80" s="218"/>
      <c r="G80" s="218"/>
      <c r="H80" s="218"/>
      <c r="I80" s="218"/>
      <c r="J80" s="218"/>
      <c r="K80" s="218"/>
      <c r="L80" s="218"/>
      <c r="M80" s="218"/>
      <c r="N80" s="218"/>
      <c r="O80" s="205"/>
    </row>
    <row r="81" s="198" customFormat="1" ht="15" spans="1:15">
      <c r="A81" s="214" t="str">
        <f>IF('[4]step01 標題編集'!A83="","",'[4]step01 標題編集'!A83)</f>
        <v/>
      </c>
      <c r="B81" s="214" t="str">
        <f>IF(step01标题尺码信息!B83="","",step01标题尺码信息!B83)</f>
        <v/>
      </c>
      <c r="C81" s="214"/>
      <c r="D81" s="214"/>
      <c r="E81" s="219" t="str">
        <f>IF(""=IFERROR(VLOOKUP([4]temp!$A$1&amp;"_"&amp;$B81,#REF!,2,FALSE),""),"",IFERROR(VLOOKUP([4]temp!$A$1&amp;"_"&amp;$B81,#REF!,2,FALSE),""))</f>
        <v/>
      </c>
      <c r="F81" s="218"/>
      <c r="G81" s="218"/>
      <c r="H81" s="218"/>
      <c r="I81" s="218"/>
      <c r="J81" s="218"/>
      <c r="K81" s="218"/>
      <c r="L81" s="218"/>
      <c r="M81" s="218"/>
      <c r="N81" s="218"/>
      <c r="O81" s="205"/>
    </row>
    <row r="82" s="198" customFormat="1" ht="15" spans="1:15">
      <c r="A82" s="214" t="str">
        <f>IF('[4]step01 標題編集'!A84="","",'[4]step01 標題編集'!A84)</f>
        <v/>
      </c>
      <c r="B82" s="214" t="str">
        <f>IF(step01标题尺码信息!B84="","",step01标题尺码信息!B84)</f>
        <v/>
      </c>
      <c r="C82" s="214"/>
      <c r="D82" s="214"/>
      <c r="E82" s="219" t="str">
        <f>IF(""=IFERROR(VLOOKUP([4]temp!$A$1&amp;"_"&amp;$B82,#REF!,2,FALSE),""),"",IFERROR(VLOOKUP([4]temp!$A$1&amp;"_"&amp;$B82,#REF!,2,FALSE),""))</f>
        <v/>
      </c>
      <c r="F82" s="218"/>
      <c r="G82" s="218"/>
      <c r="H82" s="218"/>
      <c r="I82" s="218"/>
      <c r="J82" s="218"/>
      <c r="K82" s="218"/>
      <c r="L82" s="218"/>
      <c r="M82" s="218"/>
      <c r="N82" s="218"/>
      <c r="O82" s="205"/>
    </row>
    <row r="83" s="198" customFormat="1" ht="15" spans="1:15">
      <c r="A83" s="214" t="str">
        <f>IF('[4]step01 標題編集'!A85="","",'[4]step01 標題編集'!A85)</f>
        <v/>
      </c>
      <c r="B83" s="214" t="str">
        <f>IF(step01标题尺码信息!B85="","",step01标题尺码信息!B85)</f>
        <v/>
      </c>
      <c r="C83" s="214"/>
      <c r="D83" s="214"/>
      <c r="E83" s="219" t="str">
        <f>IF(""=IFERROR(VLOOKUP([4]temp!$A$1&amp;"_"&amp;$B83,#REF!,2,FALSE),""),"",IFERROR(VLOOKUP([4]temp!$A$1&amp;"_"&amp;$B83,#REF!,2,FALSE),""))</f>
        <v/>
      </c>
      <c r="F83" s="218"/>
      <c r="G83" s="218"/>
      <c r="H83" s="218"/>
      <c r="I83" s="218"/>
      <c r="J83" s="218"/>
      <c r="K83" s="218"/>
      <c r="L83" s="218"/>
      <c r="M83" s="218"/>
      <c r="N83" s="218"/>
      <c r="O83" s="205"/>
    </row>
    <row r="84" s="198" customFormat="1" ht="15" spans="1:15">
      <c r="A84" s="214" t="str">
        <f>IF('[4]step01 標題編集'!A86="","",'[4]step01 標題編集'!A86)</f>
        <v/>
      </c>
      <c r="B84" s="214" t="str">
        <f>IF(step01标题尺码信息!B86="","",step01标题尺码信息!B86)</f>
        <v/>
      </c>
      <c r="C84" s="214"/>
      <c r="D84" s="214"/>
      <c r="E84" s="219" t="str">
        <f>IF(""=IFERROR(VLOOKUP([4]temp!$A$1&amp;"_"&amp;$B84,#REF!,2,FALSE),""),"",IFERROR(VLOOKUP([4]temp!$A$1&amp;"_"&amp;$B84,#REF!,2,FALSE),""))</f>
        <v/>
      </c>
      <c r="F84" s="218"/>
      <c r="G84" s="218"/>
      <c r="H84" s="218"/>
      <c r="I84" s="218"/>
      <c r="J84" s="218"/>
      <c r="K84" s="218"/>
      <c r="L84" s="218"/>
      <c r="M84" s="218"/>
      <c r="N84" s="218"/>
      <c r="O84" s="205"/>
    </row>
    <row r="85" s="198" customFormat="1" ht="15" spans="1:15">
      <c r="A85" s="214" t="str">
        <f>IF('[4]step01 標題編集'!A87="","",'[4]step01 標題編集'!A87)</f>
        <v/>
      </c>
      <c r="B85" s="214" t="str">
        <f>IF(step01标题尺码信息!B87="","",step01标题尺码信息!B87)</f>
        <v/>
      </c>
      <c r="C85" s="214"/>
      <c r="D85" s="214"/>
      <c r="E85" s="219" t="str">
        <f>IF(""=IFERROR(VLOOKUP([4]temp!$A$1&amp;"_"&amp;$B85,#REF!,2,FALSE),""),"",IFERROR(VLOOKUP([4]temp!$A$1&amp;"_"&amp;$B85,#REF!,2,FALSE),""))</f>
        <v/>
      </c>
      <c r="F85" s="218"/>
      <c r="G85" s="218"/>
      <c r="H85" s="218"/>
      <c r="I85" s="218"/>
      <c r="J85" s="218"/>
      <c r="K85" s="218"/>
      <c r="L85" s="218"/>
      <c r="M85" s="218"/>
      <c r="N85" s="218"/>
      <c r="O85" s="205"/>
    </row>
    <row r="86" s="198" customFormat="1" ht="15" spans="1:15">
      <c r="A86" s="214" t="str">
        <f>IF('[4]step01 標題編集'!A88="","",'[4]step01 標題編集'!A88)</f>
        <v/>
      </c>
      <c r="B86" s="214" t="str">
        <f>IF(step01标题尺码信息!B88="","",step01标题尺码信息!B88)</f>
        <v/>
      </c>
      <c r="C86" s="214"/>
      <c r="D86" s="214"/>
      <c r="E86" s="219" t="str">
        <f>IF(""=IFERROR(VLOOKUP([4]temp!$A$1&amp;"_"&amp;$B86,#REF!,2,FALSE),""),"",IFERROR(VLOOKUP([4]temp!$A$1&amp;"_"&amp;$B86,#REF!,2,FALSE),""))</f>
        <v/>
      </c>
      <c r="F86" s="218"/>
      <c r="G86" s="218"/>
      <c r="H86" s="218"/>
      <c r="I86" s="218"/>
      <c r="J86" s="218"/>
      <c r="K86" s="218"/>
      <c r="L86" s="218"/>
      <c r="M86" s="218"/>
      <c r="N86" s="218"/>
      <c r="O86" s="205"/>
    </row>
    <row r="87" s="198" customFormat="1" ht="15" spans="1:15">
      <c r="A87" s="214" t="str">
        <f>IF('[4]step01 標題編集'!A89="","",'[4]step01 標題編集'!A89)</f>
        <v/>
      </c>
      <c r="B87" s="214" t="str">
        <f>IF(step01标题尺码信息!B89="","",step01标题尺码信息!B89)</f>
        <v/>
      </c>
      <c r="C87" s="214"/>
      <c r="D87" s="214"/>
      <c r="E87" s="219" t="str">
        <f>IF(""=IFERROR(VLOOKUP([4]temp!$A$1&amp;"_"&amp;$B87,#REF!,2,FALSE),""),"",IFERROR(VLOOKUP([4]temp!$A$1&amp;"_"&amp;$B87,#REF!,2,FALSE),""))</f>
        <v/>
      </c>
      <c r="F87" s="218"/>
      <c r="G87" s="218"/>
      <c r="H87" s="218"/>
      <c r="I87" s="218"/>
      <c r="J87" s="218"/>
      <c r="K87" s="218"/>
      <c r="L87" s="218"/>
      <c r="M87" s="218"/>
      <c r="N87" s="218"/>
      <c r="O87" s="205"/>
    </row>
    <row r="88" s="198" customFormat="1" ht="15" spans="1:15">
      <c r="A88" s="214" t="str">
        <f>IF('[4]step01 標題編集'!A90="","",'[4]step01 標題編集'!A90)</f>
        <v/>
      </c>
      <c r="B88" s="214" t="str">
        <f>IF(step01标题尺码信息!B90="","",step01标题尺码信息!B90)</f>
        <v/>
      </c>
      <c r="C88" s="214"/>
      <c r="D88" s="214"/>
      <c r="E88" s="219" t="str">
        <f>IF(""=IFERROR(VLOOKUP([4]temp!$A$1&amp;"_"&amp;$B88,#REF!,2,FALSE),""),"",IFERROR(VLOOKUP([4]temp!$A$1&amp;"_"&amp;$B88,#REF!,2,FALSE),""))</f>
        <v/>
      </c>
      <c r="F88" s="218"/>
      <c r="G88" s="218"/>
      <c r="H88" s="218"/>
      <c r="I88" s="218"/>
      <c r="J88" s="218"/>
      <c r="K88" s="218"/>
      <c r="L88" s="218"/>
      <c r="M88" s="218"/>
      <c r="N88" s="218"/>
      <c r="O88" s="205"/>
    </row>
    <row r="89" s="198" customFormat="1" ht="15" spans="1:15">
      <c r="A89" s="214" t="str">
        <f>IF('[4]step01 標題編集'!A91="","",'[4]step01 標題編集'!A91)</f>
        <v/>
      </c>
      <c r="B89" s="214" t="str">
        <f>IF(step01标题尺码信息!B91="","",step01标题尺码信息!B91)</f>
        <v/>
      </c>
      <c r="C89" s="214"/>
      <c r="D89" s="214"/>
      <c r="E89" s="219" t="str">
        <f>IF(""=IFERROR(VLOOKUP([4]temp!$A$1&amp;"_"&amp;$B89,#REF!,2,FALSE),""),"",IFERROR(VLOOKUP([4]temp!$A$1&amp;"_"&amp;$B89,#REF!,2,FALSE),""))</f>
        <v/>
      </c>
      <c r="F89" s="218"/>
      <c r="G89" s="218"/>
      <c r="H89" s="218"/>
      <c r="I89" s="218"/>
      <c r="J89" s="218"/>
      <c r="K89" s="218"/>
      <c r="L89" s="218"/>
      <c r="M89" s="218"/>
      <c r="N89" s="218"/>
      <c r="O89" s="205"/>
    </row>
    <row r="90" s="198" customFormat="1" ht="15" spans="1:15">
      <c r="A90" s="214" t="str">
        <f>IF('[4]step01 標題編集'!A92="","",'[4]step01 標題編集'!A92)</f>
        <v/>
      </c>
      <c r="B90" s="214" t="str">
        <f>IF(step01标题尺码信息!B92="","",step01标题尺码信息!B92)</f>
        <v/>
      </c>
      <c r="C90" s="214"/>
      <c r="D90" s="214"/>
      <c r="E90" s="219" t="str">
        <f>IF(""=IFERROR(VLOOKUP([4]temp!$A$1&amp;"_"&amp;$B90,#REF!,2,FALSE),""),"",IFERROR(VLOOKUP([4]temp!$A$1&amp;"_"&amp;$B90,#REF!,2,FALSE),""))</f>
        <v/>
      </c>
      <c r="F90" s="218"/>
      <c r="G90" s="218"/>
      <c r="H90" s="218"/>
      <c r="I90" s="218"/>
      <c r="J90" s="218"/>
      <c r="K90" s="218"/>
      <c r="L90" s="218"/>
      <c r="M90" s="218"/>
      <c r="N90" s="218"/>
      <c r="O90" s="205"/>
    </row>
    <row r="91" s="198" customFormat="1" ht="15" spans="1:15">
      <c r="A91" s="214" t="str">
        <f>IF('[4]step01 標題編集'!A93="","",'[4]step01 標題編集'!A93)</f>
        <v/>
      </c>
      <c r="B91" s="214" t="str">
        <f>IF(step01标题尺码信息!B93="","",step01标题尺码信息!B93)</f>
        <v/>
      </c>
      <c r="C91" s="214"/>
      <c r="D91" s="214"/>
      <c r="E91" s="219" t="str">
        <f>IF(""=IFERROR(VLOOKUP([4]temp!$A$1&amp;"_"&amp;$B91,#REF!,2,FALSE),""),"",IFERROR(VLOOKUP([4]temp!$A$1&amp;"_"&amp;$B91,#REF!,2,FALSE),""))</f>
        <v/>
      </c>
      <c r="F91" s="218"/>
      <c r="G91" s="218"/>
      <c r="H91" s="218"/>
      <c r="I91" s="218"/>
      <c r="J91" s="218"/>
      <c r="K91" s="218"/>
      <c r="L91" s="218"/>
      <c r="M91" s="218"/>
      <c r="N91" s="218"/>
      <c r="O91" s="205"/>
    </row>
    <row r="92" s="198" customFormat="1" ht="15" spans="1:15">
      <c r="A92" s="214" t="str">
        <f>IF('[4]step01 標題編集'!A94="","",'[4]step01 標題編集'!A94)</f>
        <v/>
      </c>
      <c r="B92" s="214" t="str">
        <f>IF(step01标题尺码信息!B94="","",step01标题尺码信息!B94)</f>
        <v/>
      </c>
      <c r="C92" s="214"/>
      <c r="D92" s="214"/>
      <c r="E92" s="219" t="str">
        <f>IF(""=IFERROR(VLOOKUP([4]temp!$A$1&amp;"_"&amp;$B92,#REF!,2,FALSE),""),"",IFERROR(VLOOKUP([4]temp!$A$1&amp;"_"&amp;$B92,#REF!,2,FALSE),""))</f>
        <v/>
      </c>
      <c r="F92" s="218"/>
      <c r="G92" s="218"/>
      <c r="H92" s="218"/>
      <c r="I92" s="218"/>
      <c r="J92" s="218"/>
      <c r="K92" s="218"/>
      <c r="L92" s="218"/>
      <c r="M92" s="218"/>
      <c r="N92" s="218"/>
      <c r="O92" s="205"/>
    </row>
    <row r="93" s="198" customFormat="1" ht="15" spans="1:15">
      <c r="A93" s="214" t="str">
        <f>IF('[4]step01 標題編集'!A95="","",'[4]step01 標題編集'!A95)</f>
        <v/>
      </c>
      <c r="B93" s="214" t="str">
        <f>IF(step01标题尺码信息!B95="","",step01标题尺码信息!B95)</f>
        <v/>
      </c>
      <c r="C93" s="214"/>
      <c r="D93" s="214"/>
      <c r="E93" s="219" t="str">
        <f>IF(""=IFERROR(VLOOKUP([4]temp!$A$1&amp;"_"&amp;$B93,#REF!,2,FALSE),""),"",IFERROR(VLOOKUP([4]temp!$A$1&amp;"_"&amp;$B93,#REF!,2,FALSE),""))</f>
        <v/>
      </c>
      <c r="F93" s="218"/>
      <c r="G93" s="218"/>
      <c r="H93" s="218"/>
      <c r="I93" s="218"/>
      <c r="J93" s="218"/>
      <c r="K93" s="218"/>
      <c r="L93" s="218"/>
      <c r="M93" s="218"/>
      <c r="N93" s="218"/>
      <c r="O93" s="205"/>
    </row>
    <row r="94" s="198" customFormat="1" ht="15" spans="1:15">
      <c r="A94" s="214" t="str">
        <f>IF('[4]step01 標題編集'!A96="","",'[4]step01 標題編集'!A96)</f>
        <v/>
      </c>
      <c r="B94" s="214" t="str">
        <f>IF(step01标题尺码信息!B96="","",step01标题尺码信息!B96)</f>
        <v/>
      </c>
      <c r="C94" s="214"/>
      <c r="D94" s="214"/>
      <c r="E94" s="219" t="str">
        <f>IF(""=IFERROR(VLOOKUP([4]temp!$A$1&amp;"_"&amp;$B94,#REF!,2,FALSE),""),"",IFERROR(VLOOKUP([4]temp!$A$1&amp;"_"&amp;$B94,#REF!,2,FALSE),""))</f>
        <v/>
      </c>
      <c r="F94" s="218"/>
      <c r="G94" s="218"/>
      <c r="H94" s="218"/>
      <c r="I94" s="218"/>
      <c r="J94" s="218"/>
      <c r="K94" s="218"/>
      <c r="L94" s="218"/>
      <c r="M94" s="218"/>
      <c r="N94" s="218"/>
      <c r="O94" s="205"/>
    </row>
    <row r="95" s="198" customFormat="1" ht="15" spans="1:15">
      <c r="A95" s="214" t="str">
        <f>IF('[4]step01 標題編集'!A97="","",'[4]step01 標題編集'!A97)</f>
        <v/>
      </c>
      <c r="B95" s="214" t="str">
        <f>IF(step01标题尺码信息!B97="","",step01标题尺码信息!B97)</f>
        <v/>
      </c>
      <c r="C95" s="214"/>
      <c r="D95" s="214"/>
      <c r="E95" s="219" t="str">
        <f>IF(""=IFERROR(VLOOKUP([4]temp!$A$1&amp;"_"&amp;$B95,#REF!,2,FALSE),""),"",IFERROR(VLOOKUP([4]temp!$A$1&amp;"_"&amp;$B95,#REF!,2,FALSE),""))</f>
        <v/>
      </c>
      <c r="F95" s="218"/>
      <c r="G95" s="218"/>
      <c r="H95" s="218"/>
      <c r="I95" s="218"/>
      <c r="J95" s="218"/>
      <c r="K95" s="218"/>
      <c r="L95" s="218"/>
      <c r="M95" s="218"/>
      <c r="N95" s="218"/>
      <c r="O95" s="205"/>
    </row>
    <row r="96" s="198" customFormat="1" ht="15" spans="1:15">
      <c r="A96" s="214" t="str">
        <f>IF('[4]step01 標題編集'!A98="","",'[4]step01 標題編集'!A98)</f>
        <v/>
      </c>
      <c r="B96" s="214" t="str">
        <f>IF(step01标题尺码信息!B98="","",step01标题尺码信息!B98)</f>
        <v/>
      </c>
      <c r="C96" s="214"/>
      <c r="D96" s="214"/>
      <c r="E96" s="219" t="str">
        <f>IF(""=IFERROR(VLOOKUP([4]temp!$A$1&amp;"_"&amp;$B96,#REF!,2,FALSE),""),"",IFERROR(VLOOKUP([4]temp!$A$1&amp;"_"&amp;$B96,#REF!,2,FALSE),""))</f>
        <v/>
      </c>
      <c r="F96" s="218"/>
      <c r="G96" s="218"/>
      <c r="H96" s="218"/>
      <c r="I96" s="218"/>
      <c r="J96" s="218"/>
      <c r="K96" s="218"/>
      <c r="L96" s="218"/>
      <c r="M96" s="218"/>
      <c r="N96" s="218"/>
      <c r="O96" s="205"/>
    </row>
    <row r="97" s="198" customFormat="1" ht="15" spans="1:15">
      <c r="A97" s="214" t="str">
        <f>IF('[4]step01 標題編集'!A99="","",'[4]step01 標題編集'!A99)</f>
        <v/>
      </c>
      <c r="B97" s="214" t="str">
        <f>IF(step01标题尺码信息!B99="","",step01标题尺码信息!B99)</f>
        <v/>
      </c>
      <c r="C97" s="214"/>
      <c r="D97" s="214"/>
      <c r="E97" s="219" t="str">
        <f>IF(""=IFERROR(VLOOKUP([4]temp!$A$1&amp;"_"&amp;$B97,#REF!,2,FALSE),""),"",IFERROR(VLOOKUP([4]temp!$A$1&amp;"_"&amp;$B97,#REF!,2,FALSE),""))</f>
        <v/>
      </c>
      <c r="F97" s="218"/>
      <c r="G97" s="218"/>
      <c r="H97" s="218"/>
      <c r="I97" s="218"/>
      <c r="J97" s="218"/>
      <c r="K97" s="218"/>
      <c r="L97" s="218"/>
      <c r="M97" s="218"/>
      <c r="N97" s="218"/>
      <c r="O97" s="205"/>
    </row>
    <row r="98" s="198" customFormat="1" ht="15" spans="1:15">
      <c r="A98" s="214" t="str">
        <f>IF('[4]step01 標題編集'!A100="","",'[4]step01 標題編集'!A100)</f>
        <v/>
      </c>
      <c r="B98" s="214" t="str">
        <f>IF(step01标题尺码信息!B100="","",step01标题尺码信息!B100)</f>
        <v/>
      </c>
      <c r="C98" s="214"/>
      <c r="D98" s="214"/>
      <c r="E98" s="219" t="str">
        <f>IF(""=IFERROR(VLOOKUP([4]temp!$A$1&amp;"_"&amp;$B98,#REF!,2,FALSE),""),"",IFERROR(VLOOKUP([4]temp!$A$1&amp;"_"&amp;$B98,#REF!,2,FALSE),""))</f>
        <v/>
      </c>
      <c r="F98" s="218"/>
      <c r="G98" s="218"/>
      <c r="H98" s="218"/>
      <c r="I98" s="218"/>
      <c r="J98" s="218"/>
      <c r="K98" s="218"/>
      <c r="L98" s="218"/>
      <c r="M98" s="218"/>
      <c r="N98" s="218"/>
      <c r="O98" s="205"/>
    </row>
    <row r="99" s="198" customFormat="1" ht="15" spans="1:15">
      <c r="A99" s="214" t="str">
        <f>IF('[4]step01 標題編集'!A101="","",'[4]step01 標題編集'!A101)</f>
        <v/>
      </c>
      <c r="B99" s="214" t="str">
        <f>IF(step01标题尺码信息!B101="","",step01标题尺码信息!B101)</f>
        <v/>
      </c>
      <c r="C99" s="214"/>
      <c r="D99" s="214"/>
      <c r="E99" s="219" t="str">
        <f>IF(""=IFERROR(VLOOKUP([4]temp!$A$1&amp;"_"&amp;$B99,#REF!,2,FALSE),""),"",IFERROR(VLOOKUP([4]temp!$A$1&amp;"_"&amp;$B99,#REF!,2,FALSE),""))</f>
        <v/>
      </c>
      <c r="F99" s="218"/>
      <c r="G99" s="218"/>
      <c r="H99" s="218"/>
      <c r="I99" s="218"/>
      <c r="J99" s="218"/>
      <c r="K99" s="218"/>
      <c r="L99" s="218"/>
      <c r="M99" s="218"/>
      <c r="N99" s="218"/>
      <c r="O99" s="205"/>
    </row>
    <row r="100" s="198" customFormat="1" ht="15" spans="1:15">
      <c r="A100" s="214" t="str">
        <f>IF('[4]step01 標題編集'!A102="","",'[4]step01 標題編集'!A102)</f>
        <v/>
      </c>
      <c r="B100" s="214" t="str">
        <f>IF(step01标题尺码信息!B102="","",step01标题尺码信息!B102)</f>
        <v/>
      </c>
      <c r="C100" s="214"/>
      <c r="D100" s="214"/>
      <c r="E100" s="219" t="str">
        <f>IF(""=IFERROR(VLOOKUP([4]temp!$A$1&amp;"_"&amp;$B100,#REF!,2,FALSE),""),"",IFERROR(VLOOKUP([4]temp!$A$1&amp;"_"&amp;$B100,#REF!,2,FALSE),""))</f>
        <v/>
      </c>
      <c r="F100" s="218"/>
      <c r="G100" s="218"/>
      <c r="H100" s="218"/>
      <c r="I100" s="218"/>
      <c r="J100" s="218"/>
      <c r="K100" s="218"/>
      <c r="L100" s="218"/>
      <c r="M100" s="218"/>
      <c r="N100" s="218"/>
      <c r="O100" s="205"/>
    </row>
    <row r="101" s="198" customFormat="1" ht="15" spans="1:15">
      <c r="A101" s="214" t="str">
        <f>IF('[4]step01 標題編集'!A103="","",'[4]step01 標題編集'!A103)</f>
        <v/>
      </c>
      <c r="B101" s="214" t="str">
        <f>IF(step01标题尺码信息!B103="","",step01标题尺码信息!B103)</f>
        <v/>
      </c>
      <c r="C101" s="214"/>
      <c r="D101" s="214"/>
      <c r="E101" s="219" t="str">
        <f>IF(""=IFERROR(VLOOKUP([4]temp!$A$1&amp;"_"&amp;$B101,#REF!,2,FALSE),""),"",IFERROR(VLOOKUP([4]temp!$A$1&amp;"_"&amp;$B101,#REF!,2,FALSE),""))</f>
        <v/>
      </c>
      <c r="F101" s="218"/>
      <c r="G101" s="218"/>
      <c r="H101" s="218"/>
      <c r="I101" s="218"/>
      <c r="J101" s="218"/>
      <c r="K101" s="218"/>
      <c r="L101" s="218"/>
      <c r="M101" s="218"/>
      <c r="N101" s="218"/>
      <c r="O101" s="205"/>
    </row>
    <row r="102" s="198" customFormat="1" ht="15" spans="1:15">
      <c r="A102" s="214" t="str">
        <f>IF('[4]step01 標題編集'!A104="","",'[4]step01 標題編集'!A104)</f>
        <v/>
      </c>
      <c r="B102" s="214" t="str">
        <f>IF(step01标题尺码信息!B104="","",step01标题尺码信息!B104)</f>
        <v/>
      </c>
      <c r="C102" s="214"/>
      <c r="D102" s="214"/>
      <c r="E102" s="219" t="str">
        <f>IF(""=IFERROR(VLOOKUP([4]temp!$A$1&amp;"_"&amp;$B102,#REF!,2,FALSE),""),"",IFERROR(VLOOKUP([4]temp!$A$1&amp;"_"&amp;$B102,#REF!,2,FALSE),""))</f>
        <v/>
      </c>
      <c r="F102" s="218"/>
      <c r="G102" s="218"/>
      <c r="H102" s="218"/>
      <c r="I102" s="218"/>
      <c r="J102" s="218"/>
      <c r="K102" s="218"/>
      <c r="L102" s="218"/>
      <c r="M102" s="218"/>
      <c r="N102" s="218"/>
      <c r="O102" s="205"/>
    </row>
    <row r="103" s="198" customFormat="1" ht="15" spans="1:15">
      <c r="A103" s="214" t="str">
        <f>IF('[4]step01 標題編集'!A105="","",'[4]step01 標題編集'!A105)</f>
        <v/>
      </c>
      <c r="B103" s="214" t="str">
        <f>IF(step01标题尺码信息!B105="","",step01标题尺码信息!B105)</f>
        <v/>
      </c>
      <c r="C103" s="214"/>
      <c r="D103" s="214"/>
      <c r="E103" s="219" t="str">
        <f>IF(""=IFERROR(VLOOKUP([4]temp!$A$1&amp;"_"&amp;$B103,#REF!,2,FALSE),""),"",IFERROR(VLOOKUP([4]temp!$A$1&amp;"_"&amp;$B103,#REF!,2,FALSE),""))</f>
        <v/>
      </c>
      <c r="F103" s="218"/>
      <c r="G103" s="218"/>
      <c r="H103" s="218"/>
      <c r="I103" s="218"/>
      <c r="J103" s="218"/>
      <c r="K103" s="218"/>
      <c r="L103" s="218"/>
      <c r="M103" s="218"/>
      <c r="N103" s="218"/>
      <c r="O103" s="205"/>
    </row>
    <row r="104" s="198" customFormat="1" ht="15" spans="1:15">
      <c r="A104" s="214" t="str">
        <f>IF('[4]step01 標題編集'!A106="","",'[4]step01 標題編集'!A106)</f>
        <v/>
      </c>
      <c r="B104" s="214" t="str">
        <f>IF(step01标题尺码信息!B106="","",step01标题尺码信息!B106)</f>
        <v/>
      </c>
      <c r="C104" s="214"/>
      <c r="D104" s="214"/>
      <c r="E104" s="219" t="str">
        <f>IF(""=IFERROR(VLOOKUP([4]temp!$A$1&amp;"_"&amp;$B104,#REF!,2,FALSE),""),"",IFERROR(VLOOKUP([4]temp!$A$1&amp;"_"&amp;$B104,#REF!,2,FALSE),""))</f>
        <v/>
      </c>
      <c r="F104" s="218"/>
      <c r="G104" s="218"/>
      <c r="H104" s="218"/>
      <c r="I104" s="218"/>
      <c r="J104" s="218"/>
      <c r="K104" s="218"/>
      <c r="L104" s="218"/>
      <c r="M104" s="218"/>
      <c r="N104" s="218"/>
      <c r="O104" s="205"/>
    </row>
    <row r="105" s="199" customFormat="1" ht="15" spans="1:15">
      <c r="A105" s="214" t="str">
        <f>IF('[4]step01 標題編集'!A107="","",'[4]step01 標題編集'!A107)</f>
        <v/>
      </c>
      <c r="B105" s="214" t="str">
        <f>IF(step01标题尺码信息!B107="","",step01标题尺码信息!B107)</f>
        <v/>
      </c>
      <c r="C105" s="214"/>
      <c r="D105" s="214"/>
      <c r="E105" s="219" t="str">
        <f>IF(""=IFERROR(VLOOKUP([4]temp!$A$1&amp;"_"&amp;$B105,#REF!,2,FALSE),""),"",IFERROR(VLOOKUP([4]temp!$A$1&amp;"_"&amp;$B105,#REF!,2,FALSE),""))</f>
        <v/>
      </c>
      <c r="F105" s="218"/>
      <c r="G105" s="218"/>
      <c r="H105" s="218"/>
      <c r="I105" s="218"/>
      <c r="J105" s="218"/>
      <c r="K105" s="218"/>
      <c r="L105" s="218"/>
      <c r="M105" s="218"/>
      <c r="N105" s="218"/>
      <c r="O105" s="214"/>
    </row>
    <row r="106" s="199" customFormat="1" ht="15" spans="1:15">
      <c r="A106" s="214" t="str">
        <f>IF('[4]step01 標題編集'!A108="","",'[4]step01 標題編集'!A108)</f>
        <v/>
      </c>
      <c r="B106" s="214" t="str">
        <f>IF(step01标题尺码信息!B108="","",step01标题尺码信息!B108)</f>
        <v/>
      </c>
      <c r="C106" s="214"/>
      <c r="D106" s="214"/>
      <c r="E106" s="219" t="str">
        <f>IF(""=IFERROR(VLOOKUP([4]temp!$A$1&amp;"_"&amp;$B106,#REF!,2,FALSE),""),"",IFERROR(VLOOKUP([4]temp!$A$1&amp;"_"&amp;$B106,#REF!,2,FALSE),""))</f>
        <v/>
      </c>
      <c r="F106" s="218"/>
      <c r="G106" s="218"/>
      <c r="H106" s="218"/>
      <c r="I106" s="218"/>
      <c r="J106" s="218"/>
      <c r="K106" s="218"/>
      <c r="L106" s="218"/>
      <c r="M106" s="218"/>
      <c r="N106" s="218"/>
      <c r="O106" s="214"/>
    </row>
    <row r="107" s="199" customFormat="1" ht="15" spans="1:15">
      <c r="A107" s="214" t="str">
        <f>IF('[4]step01 標題編集'!A109="","",'[4]step01 標題編集'!A109)</f>
        <v/>
      </c>
      <c r="B107" s="214" t="str">
        <f>IF(step01标题尺码信息!B109="","",step01标题尺码信息!B109)</f>
        <v/>
      </c>
      <c r="C107" s="214"/>
      <c r="D107" s="214"/>
      <c r="E107" s="219" t="str">
        <f>IF(""=IFERROR(VLOOKUP([4]temp!$A$1&amp;"_"&amp;$B107,#REF!,2,FALSE),""),"",IFERROR(VLOOKUP([4]temp!$A$1&amp;"_"&amp;$B107,#REF!,2,FALSE),""))</f>
        <v/>
      </c>
      <c r="F107" s="218"/>
      <c r="G107" s="218"/>
      <c r="H107" s="218"/>
      <c r="I107" s="218"/>
      <c r="J107" s="218"/>
      <c r="K107" s="218"/>
      <c r="L107" s="218"/>
      <c r="M107" s="218"/>
      <c r="N107" s="218"/>
      <c r="O107" s="214"/>
    </row>
    <row r="108" s="199" customFormat="1" ht="15" spans="1:15">
      <c r="A108" s="214" t="str">
        <f>IF('[4]step01 標題編集'!A110="","",'[4]step01 標題編集'!A110)</f>
        <v/>
      </c>
      <c r="B108" s="214" t="str">
        <f>IF(step01标题尺码信息!B110="","",step01标题尺码信息!B110)</f>
        <v/>
      </c>
      <c r="C108" s="214"/>
      <c r="D108" s="214"/>
      <c r="E108" s="219" t="str">
        <f>IF(""=IFERROR(VLOOKUP([4]temp!$A$1&amp;"_"&amp;$B108,#REF!,2,FALSE),""),"",IFERROR(VLOOKUP([4]temp!$A$1&amp;"_"&amp;$B108,#REF!,2,FALSE),""))</f>
        <v/>
      </c>
      <c r="F108" s="218"/>
      <c r="G108" s="218"/>
      <c r="H108" s="218"/>
      <c r="I108" s="218"/>
      <c r="J108" s="218"/>
      <c r="K108" s="218"/>
      <c r="L108" s="218"/>
      <c r="M108" s="218"/>
      <c r="N108" s="218"/>
      <c r="O108" s="214"/>
    </row>
    <row r="109" s="199" customFormat="1" ht="15" spans="1:15">
      <c r="A109" s="214" t="str">
        <f>IF('[4]step01 標題編集'!A111="","",'[4]step01 標題編集'!A111)</f>
        <v/>
      </c>
      <c r="B109" s="214" t="str">
        <f>IF(step01标题尺码信息!B111="","",step01标题尺码信息!B111)</f>
        <v/>
      </c>
      <c r="C109" s="214"/>
      <c r="D109" s="214"/>
      <c r="E109" s="219" t="str">
        <f>IF(""=IFERROR(VLOOKUP([4]temp!$A$1&amp;"_"&amp;$B109,#REF!,2,FALSE),""),"",IFERROR(VLOOKUP([4]temp!$A$1&amp;"_"&amp;$B109,#REF!,2,FALSE),""))</f>
        <v/>
      </c>
      <c r="F109" s="218"/>
      <c r="G109" s="218"/>
      <c r="H109" s="218"/>
      <c r="I109" s="218"/>
      <c r="J109" s="218"/>
      <c r="K109" s="218"/>
      <c r="L109" s="218"/>
      <c r="M109" s="218"/>
      <c r="N109" s="218"/>
      <c r="O109" s="214"/>
    </row>
    <row r="110" s="199" customFormat="1" ht="15" spans="1:15">
      <c r="A110" s="214" t="str">
        <f>IF('[4]step01 標題編集'!A112="","",'[4]step01 標題編集'!A112)</f>
        <v/>
      </c>
      <c r="B110" s="214" t="str">
        <f>IF(step01标题尺码信息!B112="","",step01标题尺码信息!B112)</f>
        <v/>
      </c>
      <c r="C110" s="214"/>
      <c r="D110" s="214"/>
      <c r="E110" s="219" t="str">
        <f>IF(""=IFERROR(VLOOKUP([4]temp!$A$1&amp;"_"&amp;$B110,#REF!,2,FALSE),""),"",IFERROR(VLOOKUP([4]temp!$A$1&amp;"_"&amp;$B110,#REF!,2,FALSE),""))</f>
        <v/>
      </c>
      <c r="F110" s="218"/>
      <c r="G110" s="218"/>
      <c r="H110" s="218"/>
      <c r="I110" s="218"/>
      <c r="J110" s="218"/>
      <c r="K110" s="218"/>
      <c r="L110" s="218"/>
      <c r="M110" s="218"/>
      <c r="N110" s="218"/>
      <c r="O110" s="214"/>
    </row>
    <row r="111" s="199" customFormat="1" ht="15" spans="1:15">
      <c r="A111" s="214" t="str">
        <f>IF('[4]step01 標題編集'!A113="","",'[4]step01 標題編集'!A113)</f>
        <v/>
      </c>
      <c r="B111" s="214" t="str">
        <f>IF(step01标题尺码信息!B113="","",step01标题尺码信息!B113)</f>
        <v/>
      </c>
      <c r="C111" s="214"/>
      <c r="D111" s="214"/>
      <c r="E111" s="219" t="str">
        <f>IF(""=IFERROR(VLOOKUP([4]temp!$A$1&amp;"_"&amp;$B111,#REF!,2,FALSE),""),"",IFERROR(VLOOKUP([4]temp!$A$1&amp;"_"&amp;$B111,#REF!,2,FALSE),""))</f>
        <v/>
      </c>
      <c r="F111" s="218"/>
      <c r="G111" s="218"/>
      <c r="H111" s="218"/>
      <c r="I111" s="218"/>
      <c r="J111" s="218"/>
      <c r="K111" s="218"/>
      <c r="L111" s="218"/>
      <c r="M111" s="218"/>
      <c r="N111" s="218"/>
      <c r="O111" s="214"/>
    </row>
    <row r="112" s="199" customFormat="1" ht="15" spans="1:15">
      <c r="A112" s="214" t="str">
        <f>IF('[4]step01 標題編集'!A114="","",'[4]step01 標題編集'!A114)</f>
        <v/>
      </c>
      <c r="B112" s="214" t="str">
        <f>IF(step01标题尺码信息!B114="","",step01标题尺码信息!B114)</f>
        <v/>
      </c>
      <c r="C112" s="214"/>
      <c r="D112" s="214"/>
      <c r="E112" s="219" t="str">
        <f>IF(""=IFERROR(VLOOKUP([4]temp!$A$1&amp;"_"&amp;$B112,#REF!,2,FALSE),""),"",IFERROR(VLOOKUP([4]temp!$A$1&amp;"_"&amp;$B112,#REF!,2,FALSE),""))</f>
        <v/>
      </c>
      <c r="F112" s="218"/>
      <c r="G112" s="218"/>
      <c r="H112" s="218"/>
      <c r="I112" s="218"/>
      <c r="J112" s="218"/>
      <c r="K112" s="218"/>
      <c r="L112" s="218"/>
      <c r="M112" s="218"/>
      <c r="N112" s="218"/>
      <c r="O112" s="214"/>
    </row>
    <row r="113" s="199" customFormat="1" ht="15" spans="1:15">
      <c r="A113" s="214" t="str">
        <f>IF('[4]step01 標題編集'!A115="","",'[4]step01 標題編集'!A115)</f>
        <v/>
      </c>
      <c r="B113" s="214" t="str">
        <f>IF(step01标题尺码信息!B115="","",step01标题尺码信息!B115)</f>
        <v/>
      </c>
      <c r="C113" s="214"/>
      <c r="D113" s="214"/>
      <c r="E113" s="219" t="str">
        <f>IF(""=IFERROR(VLOOKUP([4]temp!$A$1&amp;"_"&amp;$B113,#REF!,2,FALSE),""),"",IFERROR(VLOOKUP([4]temp!$A$1&amp;"_"&amp;$B113,#REF!,2,FALSE),""))</f>
        <v/>
      </c>
      <c r="F113" s="218"/>
      <c r="G113" s="218"/>
      <c r="H113" s="218"/>
      <c r="I113" s="218"/>
      <c r="J113" s="218"/>
      <c r="K113" s="218"/>
      <c r="L113" s="218"/>
      <c r="M113" s="218"/>
      <c r="N113" s="218"/>
      <c r="O113" s="214"/>
    </row>
    <row r="114" s="199" customFormat="1" ht="15" spans="1:15">
      <c r="A114" s="214" t="str">
        <f>IF('[4]step01 標題編集'!A116="","",'[4]step01 標題編集'!A116)</f>
        <v/>
      </c>
      <c r="B114" s="214" t="str">
        <f>IF(step01标题尺码信息!B116="","",step01标题尺码信息!B116)</f>
        <v/>
      </c>
      <c r="C114" s="214"/>
      <c r="D114" s="214"/>
      <c r="E114" s="219" t="str">
        <f>IF(""=IFERROR(VLOOKUP([4]temp!$A$1&amp;"_"&amp;$B114,#REF!,2,FALSE),""),"",IFERROR(VLOOKUP([4]temp!$A$1&amp;"_"&amp;$B114,#REF!,2,FALSE),""))</f>
        <v/>
      </c>
      <c r="F114" s="218"/>
      <c r="G114" s="218"/>
      <c r="H114" s="218"/>
      <c r="I114" s="218"/>
      <c r="J114" s="218"/>
      <c r="K114" s="218"/>
      <c r="L114" s="218"/>
      <c r="M114" s="218"/>
      <c r="N114" s="218"/>
      <c r="O114" s="214"/>
    </row>
    <row r="115" s="199" customFormat="1" ht="15" spans="1:15">
      <c r="A115" s="214" t="str">
        <f>IF('[4]step01 標題編集'!A117="","",'[4]step01 標題編集'!A117)</f>
        <v/>
      </c>
      <c r="B115" s="214" t="str">
        <f>IF(step01标题尺码信息!B117="","",step01标题尺码信息!B117)</f>
        <v/>
      </c>
      <c r="C115" s="214"/>
      <c r="D115" s="214"/>
      <c r="E115" s="219" t="str">
        <f>IF(""=IFERROR(VLOOKUP([4]temp!$A$1&amp;"_"&amp;$B115,#REF!,2,FALSE),""),"",IFERROR(VLOOKUP([4]temp!$A$1&amp;"_"&amp;$B115,#REF!,2,FALSE),""))</f>
        <v/>
      </c>
      <c r="F115" s="218"/>
      <c r="G115" s="218"/>
      <c r="H115" s="218"/>
      <c r="I115" s="218"/>
      <c r="J115" s="218"/>
      <c r="K115" s="218"/>
      <c r="L115" s="218"/>
      <c r="M115" s="218"/>
      <c r="N115" s="218"/>
      <c r="O115" s="214"/>
    </row>
  </sheetData>
  <mergeCells count="12">
    <mergeCell ref="E2:E3"/>
    <mergeCell ref="F2:F3"/>
    <mergeCell ref="G2:G3"/>
    <mergeCell ref="H2:H3"/>
    <mergeCell ref="I2:I3"/>
    <mergeCell ref="J2:J3"/>
    <mergeCell ref="K2:K3"/>
    <mergeCell ref="L2:L3"/>
    <mergeCell ref="M2:M3"/>
    <mergeCell ref="N2:N3"/>
    <mergeCell ref="P2:P12"/>
    <mergeCell ref="Q2:Q12"/>
  </mergeCells>
  <conditionalFormatting sqref="C5:D5">
    <cfRule type="expression" dxfId="0" priority="25" stopIfTrue="1">
      <formula>AND(OR($A5&lt;&gt;"",$B5&lt;&gt;""),AND($A6="",$B6=""))</formula>
    </cfRule>
    <cfRule type="expression" dxfId="1" priority="26" stopIfTrue="1">
      <formula>AND(OR($A5&lt;&gt;"",$B5&lt;&gt;""),OR($A6&lt;&gt;"",$B6&lt;&gt;""))</formula>
    </cfRule>
  </conditionalFormatting>
  <conditionalFormatting sqref="C6:D6">
    <cfRule type="expression" dxfId="0" priority="19" stopIfTrue="1">
      <formula>AND(OR($A6&lt;&gt;"",$B6&lt;&gt;""),AND($A7="",$B7=""))</formula>
    </cfRule>
    <cfRule type="expression" dxfId="1" priority="20" stopIfTrue="1">
      <formula>AND(OR($A6&lt;&gt;"",$B6&lt;&gt;""),OR($A7&lt;&gt;"",$B7&lt;&gt;""))</formula>
    </cfRule>
  </conditionalFormatting>
  <conditionalFormatting sqref="E6">
    <cfRule type="expression" dxfId="0" priority="11" stopIfTrue="1">
      <formula>AND(OR($A6&lt;&gt;"",$B6&lt;&gt;""),AND($A7="",$B7=""))</formula>
    </cfRule>
    <cfRule type="expression" dxfId="1" priority="12" stopIfTrue="1">
      <formula>AND(OR($A6&lt;&gt;"",$B6&lt;&gt;""),OR($A7&lt;&gt;"",$B7&lt;&gt;""))</formula>
    </cfRule>
  </conditionalFormatting>
  <conditionalFormatting sqref="F6">
    <cfRule type="expression" dxfId="1" priority="2" stopIfTrue="1">
      <formula>AND(OR($A6&lt;&gt;"",$B6&lt;&gt;""),OR($A7&lt;&gt;"",$B7&lt;&gt;""))</formula>
    </cfRule>
    <cfRule type="expression" dxfId="0" priority="1" stopIfTrue="1">
      <formula>AND(OR($A6&lt;&gt;"",$B6&lt;&gt;""),AND($A7="",$B7=""))</formula>
    </cfRule>
  </conditionalFormatting>
  <conditionalFormatting sqref="L6:M6">
    <cfRule type="expression" dxfId="0" priority="9" stopIfTrue="1">
      <formula>AND(OR($A6&lt;&gt;"",$B6&lt;&gt;""),AND($A7="",$B7=""))</formula>
    </cfRule>
    <cfRule type="expression" dxfId="1" priority="10" stopIfTrue="1">
      <formula>AND(OR($A6&lt;&gt;"",$B6&lt;&gt;""),OR($A7&lt;&gt;"",$B7&lt;&gt;""))</formula>
    </cfRule>
  </conditionalFormatting>
  <conditionalFormatting sqref="E10:E115">
    <cfRule type="expression" dxfId="0" priority="17" stopIfTrue="1">
      <formula>AND(OR($A10&lt;&gt;"",$B10&lt;&gt;""),AND($A11="",$B11=""))</formula>
    </cfRule>
    <cfRule type="expression" dxfId="1" priority="18" stopIfTrue="1">
      <formula>AND(OR($A10&lt;&gt;"",$B10&lt;&gt;""),OR($A11&lt;&gt;"",$B11&lt;&gt;""))</formula>
    </cfRule>
  </conditionalFormatting>
  <conditionalFormatting sqref="A3:D4">
    <cfRule type="expression" dxfId="1" priority="34" stopIfTrue="1">
      <formula>AND(COUNTA($A2:$D2)&lt;&gt;0,COUNTA($A3:$D3)&lt;&gt;0)</formula>
    </cfRule>
    <cfRule type="expression" dxfId="0" priority="33" stopIfTrue="1">
      <formula>AND(COUNTA($A2:$D2)&lt;&gt;0,COUNTA($A3:$D3)=0)</formula>
    </cfRule>
  </conditionalFormatting>
  <conditionalFormatting sqref="A10:A103 C10:D38 A105:A115 C105:D115 O105:O115 B10:B115 A7:D9 A5:B6">
    <cfRule type="expression" dxfId="0" priority="35" stopIfTrue="1">
      <formula>AND(OR($A5&lt;&gt;"",$B5&lt;&gt;""),AND($A6="",$B6=""))</formula>
    </cfRule>
    <cfRule type="expression" dxfId="1" priority="36" stopIfTrue="1">
      <formula>AND(OR($A5&lt;&gt;"",$B5&lt;&gt;""),OR($A6&lt;&gt;"",$B6&lt;&gt;""))</formula>
    </cfRule>
  </conditionalFormatting>
  <conditionalFormatting sqref="F10:F115 E7:E9 E5">
    <cfRule type="expression" dxfId="0" priority="23" stopIfTrue="1">
      <formula>AND(OR($A5&lt;&gt;"",$B5&lt;&gt;""),AND($A6="",$B6=""))</formula>
    </cfRule>
    <cfRule type="expression" dxfId="1" priority="24" stopIfTrue="1">
      <formula>AND(OR($A5&lt;&gt;"",$B5&lt;&gt;""),OR($A6&lt;&gt;"",$B6&lt;&gt;""))</formula>
    </cfRule>
  </conditionalFormatting>
  <conditionalFormatting sqref="F7:F9 F5">
    <cfRule type="expression" dxfId="1" priority="4" stopIfTrue="1">
      <formula>AND(OR($A5&lt;&gt;"",$B5&lt;&gt;""),OR($A6&lt;&gt;"",$B6&lt;&gt;""))</formula>
    </cfRule>
    <cfRule type="expression" dxfId="0" priority="3" stopIfTrue="1">
      <formula>AND(OR($A5&lt;&gt;"",$B5&lt;&gt;""),AND($A6="",$B6=""))</formula>
    </cfRule>
  </conditionalFormatting>
  <conditionalFormatting sqref="G7:J12 L7:N12 G13:N115 G5:I6 K5:N5 N6 K6:K12">
    <cfRule type="expression" dxfId="0" priority="21" stopIfTrue="1">
      <formula>AND(OR($A5&lt;&gt;"",$B5&lt;&gt;""),AND($A6="",$B6=""))</formula>
    </cfRule>
    <cfRule type="expression" dxfId="1" priority="22" stopIfTrue="1">
      <formula>AND(OR($A5&lt;&gt;"",$B5&lt;&gt;""),OR($A6&lt;&gt;"",$B6&lt;&gt;""))</formula>
    </cfRule>
  </conditionalFormatting>
  <conditionalFormatting sqref="C39:D41">
    <cfRule type="expression" dxfId="0" priority="29" stopIfTrue="1">
      <formula>AND(OR($A39&lt;&gt;"",$B39&lt;&gt;""),AND($A40="",$B40=""))</formula>
    </cfRule>
    <cfRule type="expression" dxfId="1" priority="30" stopIfTrue="1">
      <formula>AND(OR($A39&lt;&gt;"",$B39&lt;&gt;""),OR($A40&lt;&gt;"",$B40&lt;&gt;""))</formula>
    </cfRule>
  </conditionalFormatting>
  <conditionalFormatting sqref="C42:D104 A104">
    <cfRule type="expression" dxfId="0" priority="27" stopIfTrue="1">
      <formula>AND(OR($A42&lt;&gt;"",$B42&lt;&gt;""),AND($A43="",$B43=""))</formula>
    </cfRule>
    <cfRule type="expression" dxfId="1" priority="28" stopIfTrue="1">
      <formula>AND(OR($A42&lt;&gt;"",$B42&lt;&gt;""),OR($A43&lt;&gt;"",$B43&lt;&gt;""))</formula>
    </cfRule>
  </conditionalFormatting>
  <hyperlinks>
    <hyperlink ref="E5" r:id="rId1" display="http://m.qpic.cn/psc?/V50EJGsl1uIkSE1hk7qh4B5hbw1pcDzP/TmEUgtj9EK6.7V8ajmQrEOovUy7Nklm4ADJ*1A6bXM9Ps8GGT93nj.l8Bz.HoXAN91KxV2yr4x6AQJdHOquLm1yX2NhZZPYJFfthQn.qjT8!/b&amp;bo=QAZABkAGQAYBJwA!&amp;rf=viewer_4"/>
    <hyperlink ref="F5" r:id="rId2" display="http://m.qpic.cn/psc?/V50EJGsl1uIkSE1hk7qh4B5hbw1pcDzP/TmEUgtj9EK6.7V8ajmQrEOovUy7Nklm4ADJ*1A6bXM9vAQlkJZt3KbnEAMuAVGRXbuhYHSfZoPQ1L*9SPpVG3WaN5WOp260e20z*lHFx7D8!/b&amp;bo=QAZABkAGQAYBFzA!&amp;rf=viewer_4"/>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J158"/>
  <sheetViews>
    <sheetView tabSelected="1" zoomScale="70" zoomScaleNormal="70" workbookViewId="0">
      <selection activeCell="E18" sqref="E18"/>
    </sheetView>
  </sheetViews>
  <sheetFormatPr defaultColWidth="9" defaultRowHeight="13.5"/>
  <cols>
    <col min="2" max="2" width="34.675" customWidth="1"/>
    <col min="3" max="3" width="23.75" customWidth="1"/>
    <col min="5" max="5" width="22.2083333333333" customWidth="1"/>
    <col min="6" max="6" width="10.5416666666667" customWidth="1"/>
    <col min="7" max="7" width="37.3083333333333" customWidth="1"/>
    <col min="8" max="8" width="15.5333333333333" customWidth="1"/>
    <col min="10" max="11" width="6.48333333333333" customWidth="1"/>
    <col min="12" max="12" width="83.0333333333333" customWidth="1"/>
    <col min="13" max="14" width="18.2083333333333" customWidth="1"/>
    <col min="18" max="18" width="18.825" customWidth="1"/>
    <col min="19" max="19" width="16.0916666666667"/>
    <col min="21" max="21" width="12.3333333333333" customWidth="1"/>
  </cols>
  <sheetData>
    <row r="1" s="63" customFormat="1" ht="82" customHeight="1" spans="1:244">
      <c r="A1" s="66" t="s">
        <v>36</v>
      </c>
      <c r="B1" s="67" t="s">
        <v>37</v>
      </c>
      <c r="C1" s="68"/>
      <c r="D1" s="69" t="s">
        <v>38</v>
      </c>
      <c r="E1" s="70"/>
      <c r="F1" s="71" t="s">
        <v>39</v>
      </c>
      <c r="G1" s="72"/>
      <c r="H1" s="73"/>
      <c r="I1" s="73"/>
      <c r="J1" s="73"/>
      <c r="K1" s="73"/>
      <c r="L1" s="73"/>
      <c r="M1" s="73"/>
      <c r="N1" s="73"/>
      <c r="O1" s="73"/>
      <c r="P1" s="74"/>
      <c r="Q1" s="75">
        <f ca="1">LENB(G1)+LENB(B3)+MAX(F7:F300)</f>
        <v>0</v>
      </c>
      <c r="R1" s="76" t="s">
        <v>40</v>
      </c>
      <c r="S1" s="77">
        <v>45</v>
      </c>
      <c r="T1" s="78"/>
      <c r="U1" s="79" t="s">
        <v>41</v>
      </c>
      <c r="V1" s="80" t="s">
        <v>42</v>
      </c>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4"/>
      <c r="BP1" s="64"/>
      <c r="BQ1" s="64"/>
      <c r="BR1" s="64"/>
      <c r="BS1" s="64"/>
      <c r="BT1" s="64"/>
      <c r="BU1" s="64"/>
      <c r="BV1" s="64"/>
      <c r="BW1" s="64"/>
      <c r="BX1" s="64"/>
      <c r="BY1" s="64"/>
      <c r="BZ1" s="64"/>
      <c r="CA1" s="64"/>
      <c r="CB1" s="64"/>
      <c r="CC1" s="64"/>
      <c r="CD1" s="64"/>
      <c r="CE1" s="64"/>
      <c r="CF1" s="64"/>
      <c r="CG1" s="64"/>
      <c r="CH1" s="64"/>
      <c r="CI1" s="64"/>
      <c r="CJ1" s="64"/>
      <c r="CK1" s="64"/>
      <c r="CL1" s="64"/>
      <c r="CM1" s="64"/>
      <c r="CN1" s="64"/>
      <c r="CO1" s="64"/>
      <c r="CP1" s="64"/>
      <c r="CQ1" s="64"/>
      <c r="CR1" s="64"/>
      <c r="CS1" s="64"/>
      <c r="CT1" s="64"/>
      <c r="CU1" s="64"/>
      <c r="CV1" s="64"/>
      <c r="CW1" s="64"/>
      <c r="CX1" s="64"/>
      <c r="CY1" s="64"/>
      <c r="CZ1" s="64"/>
      <c r="DA1" s="64"/>
      <c r="DB1" s="64"/>
      <c r="DC1" s="64"/>
      <c r="DD1" s="64"/>
      <c r="DE1" s="64"/>
      <c r="DF1" s="64"/>
      <c r="DG1" s="64"/>
      <c r="DH1" s="64"/>
      <c r="DI1" s="64"/>
      <c r="DJ1" s="64"/>
      <c r="DK1" s="64"/>
      <c r="DL1" s="64"/>
      <c r="DM1" s="64"/>
      <c r="DN1" s="64"/>
      <c r="DO1" s="64"/>
      <c r="DP1" s="64"/>
      <c r="DQ1" s="64"/>
      <c r="DR1" s="64"/>
      <c r="DS1" s="64"/>
      <c r="DT1" s="64"/>
      <c r="DU1" s="64"/>
      <c r="DV1" s="64"/>
      <c r="DW1" s="64"/>
      <c r="DX1" s="64"/>
      <c r="DY1" s="64"/>
      <c r="DZ1" s="64"/>
      <c r="EA1" s="64"/>
      <c r="EB1" s="64"/>
      <c r="EC1" s="64"/>
      <c r="ED1" s="64"/>
      <c r="EE1" s="64"/>
      <c r="EF1" s="64"/>
      <c r="EG1" s="64"/>
      <c r="EH1" s="64"/>
      <c r="EI1" s="64"/>
      <c r="EJ1" s="64"/>
      <c r="EK1" s="64"/>
      <c r="EL1" s="64"/>
      <c r="EM1" s="64"/>
      <c r="EN1" s="64"/>
      <c r="EO1" s="64"/>
      <c r="EP1" s="64"/>
      <c r="EQ1" s="64"/>
      <c r="ER1" s="64"/>
      <c r="ES1" s="64"/>
      <c r="ET1" s="64"/>
      <c r="EU1" s="64"/>
      <c r="EV1" s="64"/>
      <c r="EW1" s="64"/>
      <c r="EX1" s="64"/>
      <c r="EY1" s="64"/>
      <c r="EZ1" s="64"/>
      <c r="FA1" s="64"/>
      <c r="FB1" s="64"/>
      <c r="FC1" s="64"/>
      <c r="FD1" s="64"/>
      <c r="FE1" s="64"/>
      <c r="FF1" s="64"/>
      <c r="FG1" s="64"/>
      <c r="FH1" s="64"/>
      <c r="FI1" s="64"/>
      <c r="FJ1" s="64"/>
      <c r="FK1" s="64"/>
      <c r="FL1" s="64"/>
      <c r="FM1" s="64"/>
      <c r="FN1" s="64"/>
      <c r="FO1" s="64"/>
      <c r="FP1" s="64"/>
      <c r="FQ1" s="64"/>
      <c r="FR1" s="64"/>
      <c r="FS1" s="64"/>
      <c r="FT1" s="64"/>
      <c r="FU1" s="64"/>
      <c r="FV1" s="64"/>
      <c r="FW1" s="64"/>
      <c r="FX1" s="64"/>
      <c r="FY1" s="64"/>
      <c r="FZ1" s="64"/>
      <c r="GA1" s="64"/>
      <c r="GB1" s="64"/>
      <c r="GC1" s="64"/>
      <c r="GD1" s="64"/>
      <c r="GE1" s="64"/>
      <c r="GF1" s="64"/>
      <c r="GG1" s="64"/>
      <c r="GH1" s="64"/>
      <c r="GI1" s="64"/>
      <c r="GJ1" s="64"/>
      <c r="GK1" s="64"/>
      <c r="GL1" s="64"/>
      <c r="GM1" s="64"/>
      <c r="GN1" s="64"/>
      <c r="GO1" s="64"/>
      <c r="GP1" s="64"/>
      <c r="GQ1" s="64"/>
      <c r="GR1" s="64"/>
      <c r="GS1" s="64"/>
      <c r="GT1" s="64"/>
      <c r="GU1" s="64"/>
      <c r="GV1" s="64"/>
      <c r="GW1" s="64"/>
      <c r="GX1" s="64"/>
      <c r="GY1" s="64"/>
      <c r="GZ1" s="64"/>
      <c r="HA1" s="64"/>
      <c r="HB1" s="64"/>
      <c r="HC1" s="64"/>
      <c r="HD1" s="64"/>
      <c r="HE1" s="64"/>
      <c r="HF1" s="64"/>
      <c r="HG1" s="64"/>
      <c r="HH1" s="64"/>
      <c r="HI1" s="64"/>
      <c r="HJ1" s="64"/>
      <c r="HK1" s="64"/>
      <c r="HL1" s="64"/>
      <c r="HM1" s="64"/>
      <c r="HN1" s="64"/>
      <c r="HO1" s="64"/>
      <c r="HP1" s="64"/>
      <c r="HQ1" s="64"/>
      <c r="HR1" s="64"/>
      <c r="HS1" s="64"/>
      <c r="HT1" s="64"/>
      <c r="HU1" s="64"/>
      <c r="HV1" s="64"/>
      <c r="HW1" s="64"/>
      <c r="HX1" s="64"/>
      <c r="HY1" s="64"/>
      <c r="HZ1" s="64"/>
      <c r="IA1" s="64"/>
      <c r="IB1" s="64"/>
      <c r="IC1" s="64"/>
      <c r="ID1" s="64"/>
      <c r="IE1" s="64"/>
      <c r="IF1" s="64"/>
      <c r="IG1" s="64"/>
      <c r="IH1" s="64"/>
      <c r="II1" s="64"/>
      <c r="IJ1" s="64"/>
    </row>
    <row r="2" s="64" customFormat="1" ht="21.6" customHeight="1" spans="1:244">
      <c r="A2" s="66" t="s">
        <v>43</v>
      </c>
      <c r="B2" s="81"/>
      <c r="C2" s="82"/>
      <c r="D2" s="82"/>
      <c r="E2" s="82"/>
      <c r="F2" s="66" t="s">
        <v>44</v>
      </c>
      <c r="G2" s="83" t="s">
        <v>45</v>
      </c>
      <c r="H2" s="83"/>
      <c r="I2" s="83"/>
      <c r="J2" s="83"/>
      <c r="K2" s="83"/>
      <c r="L2" s="83"/>
      <c r="M2" s="83"/>
      <c r="N2" s="83"/>
      <c r="O2" s="83"/>
      <c r="P2" s="84"/>
      <c r="Q2" s="85">
        <f>LENB(B2)</f>
        <v>0</v>
      </c>
      <c r="R2" s="86" t="s">
        <v>46</v>
      </c>
      <c r="S2" s="87">
        <v>58</v>
      </c>
      <c r="T2" s="88"/>
      <c r="U2" s="89" t="s">
        <v>47</v>
      </c>
      <c r="V2" s="90" t="s">
        <v>48</v>
      </c>
    </row>
    <row r="3" s="64" customFormat="1" ht="21.6" customHeight="1" spans="1:244">
      <c r="A3" s="66" t="s">
        <v>49</v>
      </c>
      <c r="B3" s="91"/>
      <c r="C3" s="71"/>
      <c r="D3" s="66" t="s">
        <v>50</v>
      </c>
      <c r="E3" s="91" t="s">
        <v>51</v>
      </c>
      <c r="F3" s="92" t="str">
        <f>IF(ISERROR(FIND(E3,B3)),"警告：请保持商品標識与ブランド保持一致","")</f>
        <v>警告：请保持商品標識与ブランド保持一致</v>
      </c>
      <c r="G3" s="93" t="s">
        <v>52</v>
      </c>
      <c r="H3" s="94" t="s">
        <v>53</v>
      </c>
      <c r="I3" s="95"/>
      <c r="J3" s="95"/>
      <c r="K3" s="96"/>
      <c r="L3" s="95"/>
      <c r="M3" s="97"/>
      <c r="N3" s="97"/>
      <c r="O3" s="71" t="s">
        <v>54</v>
      </c>
      <c r="P3" s="91" t="s">
        <v>55</v>
      </c>
      <c r="Q3" s="97"/>
      <c r="R3" s="98" t="s">
        <v>56</v>
      </c>
      <c r="S3" s="99">
        <v>20</v>
      </c>
      <c r="T3" s="100"/>
      <c r="U3" s="101"/>
      <c r="V3" s="102"/>
    </row>
    <row r="4" s="65" customFormat="1" ht="15" spans="1:244">
      <c r="A4" s="103"/>
      <c r="B4" s="103"/>
      <c r="C4" s="103"/>
      <c r="D4" s="103"/>
      <c r="F4" s="104"/>
      <c r="G4" s="69" t="s">
        <v>57</v>
      </c>
      <c r="H4" s="69" t="s">
        <v>58</v>
      </c>
      <c r="I4" s="105"/>
      <c r="J4" s="106" t="s">
        <v>59</v>
      </c>
      <c r="K4" s="107"/>
      <c r="L4" s="108"/>
      <c r="M4" s="69" t="s">
        <v>1</v>
      </c>
      <c r="N4" s="109" t="s">
        <v>60</v>
      </c>
      <c r="O4" s="69" t="s">
        <v>0</v>
      </c>
      <c r="P4" s="109" t="s">
        <v>61</v>
      </c>
      <c r="Q4" s="97"/>
      <c r="R4" s="110" t="s">
        <v>62</v>
      </c>
      <c r="S4" s="111"/>
      <c r="T4" s="111"/>
      <c r="U4" s="112"/>
      <c r="V4" s="112"/>
      <c r="W4" s="111"/>
      <c r="X4" s="111"/>
      <c r="Y4" s="113"/>
      <c r="Z4" s="113"/>
      <c r="AA4" s="64"/>
      <c r="AB4" s="64"/>
      <c r="AC4" s="64"/>
      <c r="AD4" s="64"/>
      <c r="AE4" s="64"/>
      <c r="AF4" s="64"/>
      <c r="AG4" s="64"/>
      <c r="AH4" s="64"/>
      <c r="AI4" s="64"/>
      <c r="AJ4" s="64"/>
      <c r="AK4" s="64"/>
      <c r="AL4" s="64"/>
      <c r="AM4" s="64"/>
      <c r="AN4" s="64"/>
      <c r="AO4" s="64"/>
      <c r="AP4" s="64"/>
      <c r="AQ4" s="64"/>
      <c r="AR4" s="64"/>
      <c r="AS4" s="64"/>
      <c r="AT4" s="64"/>
      <c r="AU4" s="64"/>
    </row>
    <row r="5" s="65" customFormat="1" ht="15.75" spans="1:244">
      <c r="A5" s="114" t="s">
        <v>63</v>
      </c>
      <c r="B5" s="115" t="s">
        <v>64</v>
      </c>
      <c r="C5" s="116" t="s">
        <v>1</v>
      </c>
      <c r="D5" s="116" t="s">
        <v>2</v>
      </c>
      <c r="E5" s="116" t="s">
        <v>65</v>
      </c>
      <c r="G5" s="117"/>
      <c r="H5" s="117"/>
      <c r="I5" s="118"/>
      <c r="J5" s="106" t="str">
        <f ca="1">"判定："&amp;COUNTIF($I$7:$I$105,1)&amp;"/"&amp;$E$6</f>
        <v>判定：0/0</v>
      </c>
      <c r="K5" s="107"/>
      <c r="L5" s="108"/>
      <c r="M5" s="117"/>
      <c r="N5" s="117"/>
      <c r="O5" s="117"/>
      <c r="P5" s="117"/>
      <c r="Q5" s="97"/>
      <c r="R5" s="119"/>
      <c r="S5" s="120"/>
      <c r="T5" s="120"/>
      <c r="U5" s="120"/>
      <c r="V5" s="120"/>
      <c r="W5" s="120"/>
      <c r="X5" s="120"/>
      <c r="Y5" s="121"/>
      <c r="Z5" s="122"/>
    </row>
    <row r="6" s="65" customFormat="1" ht="15" spans="1:244">
      <c r="A6" s="123">
        <f>IF(COUNTA(A$7:A$35)=0,0,COUNTA(A$7:A$35))</f>
        <v>0</v>
      </c>
      <c r="B6" s="123">
        <f>IF(COUNTA(B$7:B$35)=0,0,COUNTA(B$7:B$35))</f>
        <v>0</v>
      </c>
      <c r="C6" s="123">
        <v>6</v>
      </c>
      <c r="D6" s="123">
        <f>IF(COUNTA(D$7:D$35)=0,0,COUNTA(D$7:D$35))</f>
        <v>0</v>
      </c>
      <c r="E6" s="123">
        <f>IF(OR($A$6+$B$6+$D$6=0,$A$6*$B$6*$D$6=1),0,IF($A$6=0,1,$A$6)*IF($B$6=0,1,$B$6)*IF($D$6=0,1,$D$6))</f>
        <v>0</v>
      </c>
      <c r="F6" s="97"/>
      <c r="G6" s="124" t="str">
        <f>IF($E$1="","",$B$1&amp;""&amp;$E$1)</f>
        <v/>
      </c>
      <c r="H6" s="125" t="s">
        <v>66</v>
      </c>
      <c r="I6" s="124"/>
      <c r="J6" s="124" t="str">
        <f>IF($G$1="","",$B$3&amp;" "&amp;$G$1)</f>
        <v/>
      </c>
      <c r="K6" s="124"/>
      <c r="L6" s="124"/>
      <c r="M6" s="126" t="str">
        <f>IF(M$7="","",M$7)</f>
        <v/>
      </c>
      <c r="N6" s="126" t="str">
        <f t="shared" ref="N6:N69" si="0">M6</f>
        <v/>
      </c>
      <c r="O6" s="103" t="str">
        <f>IF(O$7="","",O$7)</f>
        <v/>
      </c>
      <c r="P6" s="103" t="str">
        <f t="shared" ref="P6:P69" si="1">IF(O6="","",IF($P$3="否",O6,O6&amp;"cm"))</f>
        <v/>
      </c>
      <c r="Q6" s="97"/>
      <c r="R6" s="127" t="s">
        <v>67</v>
      </c>
      <c r="S6" s="128" t="s">
        <v>68</v>
      </c>
      <c r="T6" s="129"/>
      <c r="U6" s="129"/>
      <c r="V6" s="129"/>
      <c r="W6" s="129"/>
      <c r="X6" s="129"/>
      <c r="Y6" s="130"/>
      <c r="Z6" s="131"/>
      <c r="AA6" s="64"/>
      <c r="AB6" s="64"/>
      <c r="AC6" s="64"/>
      <c r="AD6" s="64"/>
      <c r="AE6" s="64"/>
      <c r="AF6" s="64"/>
      <c r="AG6" s="64"/>
    </row>
    <row r="7" s="65" customFormat="1" ht="15" spans="1:244">
      <c r="A7" s="132"/>
      <c r="B7" s="56"/>
      <c r="C7" s="55"/>
      <c r="D7" s="132"/>
      <c r="E7" s="132"/>
      <c r="F7" s="133"/>
      <c r="G7" s="65"/>
      <c r="H7" s="65"/>
      <c r="I7" s="65"/>
      <c r="J7" s="65"/>
      <c r="M7" s="126"/>
      <c r="N7" s="126"/>
      <c r="O7" s="103"/>
      <c r="P7" s="103"/>
      <c r="Q7" s="97"/>
      <c r="R7" s="134"/>
      <c r="S7" s="135"/>
      <c r="T7" s="136"/>
      <c r="U7" s="136"/>
      <c r="V7" s="136"/>
      <c r="W7" s="136"/>
      <c r="X7" s="136"/>
      <c r="Y7" s="137"/>
      <c r="Z7" s="138"/>
    </row>
    <row r="8" s="65" customFormat="1" ht="15" spans="1:244">
      <c r="A8" s="132"/>
      <c r="B8" s="56"/>
      <c r="C8" s="55"/>
      <c r="D8" s="132"/>
      <c r="E8" s="132"/>
      <c r="F8" s="133"/>
      <c r="G8" s="65"/>
      <c r="H8" s="65"/>
      <c r="I8" s="65"/>
      <c r="J8" s="65"/>
      <c r="M8" s="126"/>
      <c r="N8" s="126"/>
      <c r="O8" s="103"/>
      <c r="P8" s="103"/>
      <c r="Q8" s="97"/>
      <c r="R8" s="139" t="s">
        <v>69</v>
      </c>
      <c r="S8" s="128" t="s">
        <v>70</v>
      </c>
      <c r="T8" s="129"/>
      <c r="U8" s="129"/>
      <c r="V8" s="129"/>
      <c r="W8" s="129"/>
      <c r="X8" s="129"/>
      <c r="Y8" s="130"/>
      <c r="Z8" s="131"/>
      <c r="AA8" s="64"/>
      <c r="AB8" s="64"/>
      <c r="AC8" s="64"/>
      <c r="AD8" s="64"/>
      <c r="AE8" s="64"/>
      <c r="AF8" s="64"/>
      <c r="AG8" s="64"/>
    </row>
    <row r="9" s="65" customFormat="1" ht="15" spans="1:244">
      <c r="A9" s="132"/>
      <c r="B9" s="56"/>
      <c r="C9" s="55"/>
      <c r="D9" s="132"/>
      <c r="E9" s="132"/>
      <c r="F9" s="133"/>
      <c r="G9" s="65"/>
      <c r="H9" s="65"/>
      <c r="I9" s="65"/>
      <c r="J9" s="65"/>
      <c r="M9" s="126"/>
      <c r="N9" s="126"/>
      <c r="O9" s="103"/>
      <c r="P9" s="103"/>
      <c r="Q9" s="97"/>
      <c r="R9" s="140"/>
      <c r="S9" s="135"/>
      <c r="T9" s="136"/>
      <c r="U9" s="136"/>
      <c r="V9" s="136"/>
      <c r="W9" s="136"/>
      <c r="X9" s="136"/>
      <c r="Y9" s="137"/>
      <c r="Z9" s="138"/>
    </row>
    <row r="10" s="65" customFormat="1" ht="15" spans="1:244">
      <c r="A10" s="132"/>
      <c r="B10" s="56"/>
      <c r="C10" s="55"/>
      <c r="D10" s="132"/>
      <c r="E10" s="132"/>
      <c r="F10" s="133"/>
      <c r="G10" s="65"/>
      <c r="H10" s="65"/>
      <c r="I10" s="65"/>
      <c r="J10" s="65"/>
      <c r="M10" s="126"/>
      <c r="N10" s="126"/>
      <c r="O10" s="103"/>
      <c r="P10" s="103"/>
      <c r="Q10" s="97"/>
      <c r="R10" s="139" t="s">
        <v>71</v>
      </c>
      <c r="S10" s="141" t="s">
        <v>72</v>
      </c>
      <c r="T10" s="142"/>
      <c r="U10" s="142"/>
      <c r="V10" s="142"/>
      <c r="W10" s="142"/>
      <c r="X10" s="142"/>
      <c r="Y10" s="143"/>
      <c r="Z10" s="131"/>
      <c r="AA10" s="64"/>
      <c r="AB10" s="64"/>
      <c r="AC10" s="64"/>
      <c r="AD10" s="64"/>
      <c r="AE10" s="64"/>
      <c r="AF10" s="64"/>
      <c r="AG10" s="64"/>
    </row>
    <row r="11" s="65" customFormat="1" ht="15" spans="1:244">
      <c r="A11" s="132"/>
      <c r="B11" s="56"/>
      <c r="C11" s="55"/>
      <c r="D11" s="132"/>
      <c r="E11" s="132"/>
      <c r="F11" s="133"/>
      <c r="G11" s="65"/>
      <c r="H11" s="65"/>
      <c r="I11" s="65"/>
      <c r="J11" s="65"/>
      <c r="M11" s="126"/>
      <c r="N11" s="126"/>
      <c r="O11" s="103"/>
      <c r="P11" s="103"/>
      <c r="Q11" s="97"/>
      <c r="R11" s="140"/>
      <c r="S11" s="135"/>
      <c r="T11" s="136"/>
      <c r="U11" s="136"/>
      <c r="V11" s="136"/>
      <c r="W11" s="136"/>
      <c r="X11" s="136"/>
      <c r="Y11" s="137"/>
      <c r="Z11" s="138"/>
    </row>
    <row r="12" s="65" customFormat="1" ht="15" spans="1:244">
      <c r="A12" s="132"/>
      <c r="B12" s="56"/>
      <c r="C12" s="55"/>
      <c r="D12" s="132"/>
      <c r="E12" s="132"/>
      <c r="F12" s="133"/>
      <c r="G12" s="65"/>
      <c r="H12" s="65"/>
      <c r="I12" s="65"/>
      <c r="J12" s="65"/>
      <c r="M12" s="126"/>
      <c r="N12" s="126"/>
      <c r="O12" s="103"/>
      <c r="P12" s="103"/>
      <c r="Q12" s="97"/>
      <c r="R12" s="144" t="s">
        <v>73</v>
      </c>
      <c r="S12" s="141"/>
      <c r="T12" s="142"/>
      <c r="U12" s="142"/>
      <c r="V12" s="142"/>
      <c r="W12" s="142"/>
      <c r="X12" s="142"/>
      <c r="Y12" s="143"/>
      <c r="Z12" s="131"/>
      <c r="AA12" s="64"/>
      <c r="AB12" s="64"/>
      <c r="AC12" s="64"/>
      <c r="AD12" s="64"/>
      <c r="AE12" s="64"/>
      <c r="AF12" s="64"/>
      <c r="AG12" s="64"/>
    </row>
    <row r="13" s="65" customFormat="1" ht="15" spans="1:244">
      <c r="A13" s="132"/>
      <c r="B13" s="56"/>
      <c r="C13" s="55"/>
      <c r="D13" s="132"/>
      <c r="E13" s="132"/>
      <c r="F13" s="133"/>
      <c r="G13" s="65"/>
      <c r="H13" s="65"/>
      <c r="I13" s="65"/>
      <c r="J13" s="65"/>
      <c r="M13" s="126"/>
      <c r="N13" s="126"/>
      <c r="O13" s="103"/>
      <c r="P13" s="103"/>
      <c r="Q13" s="97"/>
      <c r="R13" s="145"/>
      <c r="S13" s="135"/>
      <c r="T13" s="136"/>
      <c r="U13" s="136"/>
      <c r="V13" s="136"/>
      <c r="W13" s="136"/>
      <c r="X13" s="136"/>
      <c r="Y13" s="137"/>
      <c r="Z13" s="138"/>
    </row>
    <row r="14" s="65" customFormat="1" ht="15" spans="1:244">
      <c r="A14" s="132"/>
      <c r="B14" s="146"/>
      <c r="C14" s="132"/>
      <c r="D14" s="132"/>
      <c r="E14" s="132"/>
      <c r="F14" s="133"/>
      <c r="G14" s="65"/>
      <c r="H14" s="65"/>
      <c r="I14" s="65"/>
      <c r="J14" s="65"/>
      <c r="M14" s="126"/>
      <c r="N14" s="126"/>
      <c r="O14" s="103"/>
      <c r="P14" s="103"/>
      <c r="Q14" s="97"/>
      <c r="R14" s="147" t="s">
        <v>74</v>
      </c>
      <c r="S14" s="141" t="s">
        <v>75</v>
      </c>
      <c r="T14" s="142"/>
      <c r="U14" s="142"/>
      <c r="V14" s="142"/>
      <c r="W14" s="142"/>
      <c r="X14" s="142"/>
      <c r="Y14" s="143"/>
      <c r="Z14" s="131"/>
      <c r="AA14" s="64"/>
      <c r="AB14" s="64"/>
      <c r="AC14" s="64"/>
      <c r="AD14" s="64"/>
      <c r="AE14" s="64"/>
      <c r="AF14" s="64"/>
      <c r="AG14" s="64"/>
    </row>
    <row r="15" s="65" customFormat="1" ht="15.75" spans="1:244">
      <c r="A15" s="132"/>
      <c r="B15" s="146"/>
      <c r="C15" s="132"/>
      <c r="D15" s="132"/>
      <c r="E15" s="132"/>
      <c r="F15" s="133"/>
      <c r="G15" s="65"/>
      <c r="H15" s="65"/>
      <c r="I15" s="65"/>
      <c r="J15" s="65"/>
      <c r="M15" s="126"/>
      <c r="N15" s="126"/>
      <c r="O15" s="103"/>
      <c r="P15" s="103"/>
      <c r="Q15" s="97"/>
      <c r="R15" s="148"/>
      <c r="S15" s="149"/>
      <c r="T15" s="150"/>
      <c r="U15" s="150"/>
      <c r="V15" s="150"/>
      <c r="W15" s="150"/>
      <c r="X15" s="150"/>
      <c r="Y15" s="151"/>
      <c r="Z15" s="152"/>
    </row>
    <row r="16" s="65" customFormat="1" ht="15.75" spans="1:244">
      <c r="A16" s="132"/>
      <c r="B16" s="153"/>
      <c r="C16" s="132"/>
      <c r="D16" s="132"/>
      <c r="E16" s="132"/>
      <c r="F16" s="133"/>
      <c r="G16" s="65"/>
      <c r="H16" s="65"/>
      <c r="I16" s="65"/>
      <c r="J16" s="65"/>
      <c r="M16" s="126"/>
      <c r="N16" s="126"/>
      <c r="O16" s="103"/>
      <c r="P16" s="103"/>
      <c r="Q16" s="97"/>
    </row>
    <row r="17" s="65" customFormat="1" ht="15" spans="1:31">
      <c r="A17" s="132"/>
      <c r="B17" s="153"/>
      <c r="C17" s="132"/>
      <c r="D17" s="132"/>
      <c r="E17" s="132"/>
      <c r="F17" s="133"/>
      <c r="G17" s="65"/>
      <c r="H17" s="65"/>
      <c r="I17" s="65"/>
      <c r="J17" s="65"/>
      <c r="M17" s="126"/>
      <c r="N17" s="126"/>
      <c r="O17" s="103"/>
      <c r="P17" s="103"/>
      <c r="Q17" s="97"/>
      <c r="R17" s="154" t="s">
        <v>76</v>
      </c>
      <c r="S17" s="155"/>
      <c r="T17" s="155"/>
      <c r="U17" s="155"/>
      <c r="V17" s="155"/>
      <c r="W17" s="155"/>
      <c r="X17" s="155"/>
      <c r="Y17" s="156"/>
    </row>
    <row r="18" s="65" customFormat="1" ht="15" spans="1:31">
      <c r="A18" s="132"/>
      <c r="B18" s="153"/>
      <c r="C18" s="132"/>
      <c r="D18" s="132"/>
      <c r="E18" s="132"/>
      <c r="F18" s="133"/>
      <c r="G18" s="65"/>
      <c r="H18" s="65"/>
      <c r="I18" s="65"/>
      <c r="J18" s="65"/>
      <c r="M18" s="126"/>
      <c r="N18" s="126"/>
      <c r="O18" s="103"/>
      <c r="P18" s="103"/>
      <c r="Q18" s="97"/>
      <c r="R18" s="157"/>
      <c r="S18" s="158"/>
      <c r="T18" s="158"/>
      <c r="U18" s="158"/>
      <c r="V18" s="158"/>
      <c r="W18" s="158"/>
      <c r="X18" s="158"/>
      <c r="Y18" s="159"/>
    </row>
    <row r="19" s="65" customFormat="1" ht="15" spans="1:31">
      <c r="A19" s="132"/>
      <c r="B19" s="153"/>
      <c r="C19" s="132"/>
      <c r="D19" s="132"/>
      <c r="E19" s="132"/>
      <c r="F19" s="133"/>
      <c r="G19" s="65"/>
      <c r="H19" s="65"/>
      <c r="I19" s="65"/>
      <c r="J19" s="65"/>
      <c r="M19" s="126"/>
      <c r="N19" s="126"/>
      <c r="O19" s="103"/>
      <c r="P19" s="103"/>
      <c r="Q19" s="97"/>
      <c r="R19" s="160" t="s">
        <v>77</v>
      </c>
      <c r="S19" s="161"/>
      <c r="T19" s="161"/>
      <c r="U19" s="161"/>
      <c r="V19" s="161"/>
      <c r="W19" s="161"/>
      <c r="X19" s="161"/>
      <c r="Y19" s="162"/>
    </row>
    <row r="20" s="65" customFormat="1" ht="15" spans="1:31">
      <c r="A20" s="132"/>
      <c r="B20" s="153"/>
      <c r="C20" s="132"/>
      <c r="D20" s="132"/>
      <c r="E20" s="132"/>
      <c r="F20" s="133"/>
      <c r="G20" s="65"/>
      <c r="H20" s="65"/>
      <c r="I20" s="65"/>
      <c r="J20" s="65"/>
      <c r="M20" s="126"/>
      <c r="N20" s="126"/>
      <c r="O20" s="103"/>
      <c r="P20" s="103"/>
      <c r="Q20" s="97"/>
      <c r="R20" s="163"/>
      <c r="S20" s="164"/>
      <c r="T20" s="164"/>
      <c r="U20" s="164"/>
      <c r="V20" s="164"/>
      <c r="W20" s="164"/>
      <c r="X20" s="164"/>
      <c r="Y20" s="165"/>
    </row>
    <row r="21" s="65" customFormat="1" ht="15" spans="1:31">
      <c r="A21" s="132"/>
      <c r="B21" s="153"/>
      <c r="C21" s="132"/>
      <c r="D21" s="166"/>
      <c r="E21" s="132"/>
      <c r="F21" s="133"/>
      <c r="G21" s="65"/>
      <c r="H21" s="65"/>
      <c r="I21" s="65"/>
      <c r="J21" s="65"/>
      <c r="M21" s="126"/>
      <c r="N21" s="126"/>
      <c r="O21" s="103"/>
      <c r="P21" s="103"/>
      <c r="Q21" s="97"/>
      <c r="R21" s="163"/>
      <c r="S21" s="164"/>
      <c r="T21" s="164"/>
      <c r="U21" s="164"/>
      <c r="V21" s="164"/>
      <c r="W21" s="164"/>
      <c r="X21" s="164"/>
      <c r="Y21" s="165"/>
    </row>
    <row r="22" s="65" customFormat="1" ht="15" spans="1:31">
      <c r="A22" s="132"/>
      <c r="B22" s="153"/>
      <c r="C22" s="132"/>
      <c r="D22" s="132"/>
      <c r="E22" s="132"/>
      <c r="F22" s="133"/>
      <c r="G22" s="65"/>
      <c r="H22" s="65"/>
      <c r="I22" s="65"/>
      <c r="J22" s="65"/>
      <c r="M22" s="126"/>
      <c r="N22" s="126"/>
      <c r="O22" s="103"/>
      <c r="P22" s="103"/>
      <c r="Q22" s="97"/>
      <c r="R22" s="163"/>
      <c r="S22" s="164"/>
      <c r="T22" s="164"/>
      <c r="U22" s="164"/>
      <c r="V22" s="164"/>
      <c r="W22" s="164"/>
      <c r="X22" s="164"/>
      <c r="Y22" s="165"/>
    </row>
    <row r="23" s="65" customFormat="1" ht="15" spans="1:31">
      <c r="A23" s="132"/>
      <c r="B23" s="132"/>
      <c r="C23" s="132" t="str">
        <f>IFERROR((VLOOKUP(B23,#REF!,2,FALSE)),"")</f>
        <v/>
      </c>
      <c r="D23" s="132"/>
      <c r="E23" s="132"/>
      <c r="F23" s="133">
        <f ca="1" t="shared" ref="F7:F70" si="2">LENB(H23)</f>
        <v>0</v>
      </c>
      <c r="G23" s="65" t="str">
        <f ca="1" t="shared" ref="G7:G70" si="3">IF(AND(0=$B$6,$A$5&gt;0),IF($H23="","",$G$6&amp;"-"&amp;O23),IF(OR($H23="",$C$6=0),"",$G$6&amp;"-"&amp;VLOOKUP(M23,B:C,2,FALSE)&amp;"-"&amp;O23))</f>
        <v/>
      </c>
      <c r="H23" s="65" t="str">
        <f ca="1">IF(COUNTA($H$5:H22)-1&lt;$E$6,"("&amp;IF($A$6=0,"",INDIRECT("A"&amp;MOD(ROW()-ROW($A$7),$A$6)+ROW($A$7)))&amp;" "&amp;IF($B$6=0,"",INDIRECT("B"&amp;MOD(ROUNDUP((ROW()-ROW($B$7)+1)/$A$6,0)-1,$B$6)+ROW($A$7)))&amp;" "&amp;IF($D$6=0,"",INDIRECT("C"&amp;MOD(ROUNDUP((ROW()-ROW($B$7)+1)/($E$6/$D$6),0)-1,$E$6)+ROW($A$7)))&amp;")","")</f>
        <v/>
      </c>
      <c r="I23" s="65" t="str">
        <f ca="1" t="shared" ref="I7:I70" si="4">IF(H23="","",COUNTIF($H$7:$H$105,H23))</f>
        <v/>
      </c>
      <c r="J23" s="65" t="str">
        <f ca="1" t="shared" ref="J7:J46" si="5">IF(OR(H23="",$G$1=""),"",$B$3&amp;" "&amp;$G$1&amp;H23)</f>
        <v/>
      </c>
      <c r="M23" s="126" t="str">
        <f ca="1" t="shared" ref="M7:M70" si="6">IF(OR($H23="",$B$6=0),"",INDIRECT("B"&amp;MOD(ROUNDUP((ROW()-ROW($B$7)+1)/$A$6,0)-1,$B$6)+ROW($A$7)))</f>
        <v/>
      </c>
      <c r="N23" s="126" t="str">
        <f ca="1" t="shared" si="0"/>
        <v/>
      </c>
      <c r="O23" s="103" t="str">
        <f ca="1" t="shared" ref="O7:O70" si="7">IF(H23="","",IF($A$6=0,"",INDIRECT("A"&amp;MOD(ROW()-ROW($A$7),$A$6)+ROW($A$7))))</f>
        <v/>
      </c>
      <c r="P23" s="103" t="str">
        <f ca="1" t="shared" si="1"/>
        <v/>
      </c>
      <c r="Q23" s="97"/>
      <c r="R23" s="163"/>
      <c r="S23" s="164"/>
      <c r="T23" s="164"/>
      <c r="U23" s="164"/>
      <c r="V23" s="164"/>
      <c r="W23" s="164"/>
      <c r="X23" s="164"/>
      <c r="Y23" s="165"/>
    </row>
    <row r="24" s="65" customFormat="1" ht="15" spans="1:31">
      <c r="A24" s="132"/>
      <c r="B24" s="132"/>
      <c r="C24" s="132" t="str">
        <f>IFERROR((VLOOKUP(B24,#REF!,2,FALSE)),"")</f>
        <v/>
      </c>
      <c r="D24" s="132"/>
      <c r="E24" s="132"/>
      <c r="F24" s="133">
        <f ca="1" t="shared" si="2"/>
        <v>0</v>
      </c>
      <c r="G24" s="65" t="str">
        <f ca="1" t="shared" si="3"/>
        <v/>
      </c>
      <c r="H24" s="65" t="str">
        <f ca="1">IF(COUNTA($H$5:H23)-1&lt;$E$6,"("&amp;IF($A$6=0,"",INDIRECT("A"&amp;MOD(ROW()-ROW($A$7),$A$6)+ROW($A$7)))&amp;" "&amp;IF($B$6=0,"",INDIRECT("B"&amp;MOD(ROUNDUP((ROW()-ROW($B$7)+1)/$A$6,0)-1,$B$6)+ROW($A$7)))&amp;" "&amp;IF($D$6=0,"",INDIRECT("C"&amp;MOD(ROUNDUP((ROW()-ROW($B$7)+1)/($E$6/$D$6),0)-1,$E$6)+ROW($A$7)))&amp;")","")</f>
        <v/>
      </c>
      <c r="I24" s="65" t="str">
        <f ca="1" t="shared" si="4"/>
        <v/>
      </c>
      <c r="J24" s="65" t="str">
        <f ca="1" t="shared" si="5"/>
        <v/>
      </c>
      <c r="M24" s="126" t="str">
        <f ca="1" t="shared" si="6"/>
        <v/>
      </c>
      <c r="N24" s="126" t="str">
        <f ca="1" t="shared" si="0"/>
        <v/>
      </c>
      <c r="O24" s="103" t="str">
        <f ca="1" t="shared" si="7"/>
        <v/>
      </c>
      <c r="P24" s="103" t="str">
        <f ca="1" t="shared" si="1"/>
        <v/>
      </c>
      <c r="Q24" s="97"/>
      <c r="R24" s="163"/>
      <c r="S24" s="164"/>
      <c r="T24" s="164"/>
      <c r="U24" s="164"/>
      <c r="V24" s="164"/>
      <c r="W24" s="164"/>
      <c r="X24" s="164"/>
      <c r="Y24" s="165"/>
    </row>
    <row r="25" s="65" customFormat="1" customHeight="1" spans="1:31">
      <c r="A25" s="132"/>
      <c r="B25" s="132"/>
      <c r="C25" s="132" t="str">
        <f>IFERROR((VLOOKUP(B25,#REF!,2,FALSE)),"")</f>
        <v/>
      </c>
      <c r="D25" s="132"/>
      <c r="E25" s="132"/>
      <c r="F25" s="133">
        <f ca="1" t="shared" si="2"/>
        <v>0</v>
      </c>
      <c r="G25" s="65" t="str">
        <f ca="1" t="shared" si="3"/>
        <v/>
      </c>
      <c r="H25" s="65" t="str">
        <f ca="1">IF(COUNTA($H$5:H24)-1&lt;$E$6,"("&amp;IF($A$6=0,"",INDIRECT("A"&amp;MOD(ROW()-ROW($A$7),$A$6)+ROW($A$7)))&amp;" "&amp;IF($B$6=0,"",INDIRECT("B"&amp;MOD(ROUNDUP((ROW()-ROW($B$7)+1)/$A$6,0)-1,$B$6)+ROW($A$7)))&amp;" "&amp;IF($D$6=0,"",INDIRECT("C"&amp;MOD(ROUNDUP((ROW()-ROW($B$7)+1)/($E$6/$D$6),0)-1,$E$6)+ROW($A$7)))&amp;")","")</f>
        <v/>
      </c>
      <c r="I25" s="65" t="str">
        <f ca="1" t="shared" si="4"/>
        <v/>
      </c>
      <c r="J25" s="65" t="str">
        <f ca="1" t="shared" si="5"/>
        <v/>
      </c>
      <c r="M25" s="126" t="str">
        <f ca="1" t="shared" si="6"/>
        <v/>
      </c>
      <c r="N25" s="126" t="str">
        <f ca="1" t="shared" si="0"/>
        <v/>
      </c>
      <c r="O25" s="103" t="str">
        <f ca="1" t="shared" si="7"/>
        <v/>
      </c>
      <c r="P25" s="103" t="str">
        <f ca="1" t="shared" si="1"/>
        <v/>
      </c>
      <c r="Q25" s="97"/>
      <c r="R25" s="163"/>
      <c r="S25" s="164"/>
      <c r="T25" s="164"/>
      <c r="U25" s="164"/>
      <c r="V25" s="164"/>
      <c r="W25" s="164"/>
      <c r="X25" s="164"/>
      <c r="Y25" s="165"/>
    </row>
    <row r="26" s="65" customFormat="1" ht="15" spans="1:31">
      <c r="A26" s="132"/>
      <c r="B26" s="132"/>
      <c r="C26" s="132" t="str">
        <f>IFERROR((VLOOKUP(B26,#REF!,2,FALSE)),"")</f>
        <v/>
      </c>
      <c r="D26" s="132"/>
      <c r="E26" s="132"/>
      <c r="F26" s="133">
        <f ca="1" t="shared" si="2"/>
        <v>0</v>
      </c>
      <c r="G26" s="65" t="str">
        <f ca="1" t="shared" si="3"/>
        <v/>
      </c>
      <c r="H26" s="65" t="str">
        <f ca="1">IF(COUNTA($H$5:H25)-1&lt;$E$6,"("&amp;IF($A$6=0,"",INDIRECT("A"&amp;MOD(ROW()-ROW($A$7),$A$6)+ROW($A$7)))&amp;" "&amp;IF($B$6=0,"",INDIRECT("B"&amp;MOD(ROUNDUP((ROW()-ROW($B$7)+1)/$A$6,0)-1,$B$6)+ROW($A$7)))&amp;" "&amp;IF($D$6=0,"",INDIRECT("C"&amp;MOD(ROUNDUP((ROW()-ROW($B$7)+1)/($E$6/$D$6),0)-1,$E$6)+ROW($A$7)))&amp;")","")</f>
        <v/>
      </c>
      <c r="I26" s="65" t="str">
        <f ca="1" t="shared" si="4"/>
        <v/>
      </c>
      <c r="J26" s="65" t="str">
        <f ca="1" t="shared" si="5"/>
        <v/>
      </c>
      <c r="M26" s="126" t="str">
        <f ca="1" t="shared" si="6"/>
        <v/>
      </c>
      <c r="N26" s="126" t="str">
        <f ca="1" t="shared" si="0"/>
        <v/>
      </c>
      <c r="O26" s="103" t="str">
        <f ca="1" t="shared" si="7"/>
        <v/>
      </c>
      <c r="P26" s="103" t="str">
        <f ca="1" t="shared" si="1"/>
        <v/>
      </c>
      <c r="Q26" s="97"/>
      <c r="R26" s="163"/>
      <c r="S26" s="164"/>
      <c r="T26" s="164"/>
      <c r="U26" s="164"/>
      <c r="V26" s="164"/>
      <c r="W26" s="164"/>
      <c r="X26" s="164"/>
      <c r="Y26" s="165"/>
    </row>
    <row r="27" s="65" customFormat="1" ht="15.75" spans="1:31">
      <c r="A27" s="132"/>
      <c r="B27" s="132"/>
      <c r="C27" s="132" t="str">
        <f>IFERROR((VLOOKUP(B27,#REF!,2,FALSE)),"")</f>
        <v/>
      </c>
      <c r="D27" s="132"/>
      <c r="E27" s="132"/>
      <c r="F27" s="133">
        <f ca="1" t="shared" si="2"/>
        <v>0</v>
      </c>
      <c r="G27" s="65" t="str">
        <f ca="1" t="shared" si="3"/>
        <v/>
      </c>
      <c r="H27" s="65" t="str">
        <f ca="1">IF(COUNTA($H$5:H26)-1&lt;$E$6,"("&amp;IF($A$6=0,"",INDIRECT("A"&amp;MOD(ROW()-ROW($A$7),$A$6)+ROW($A$7)))&amp;" "&amp;IF($B$6=0,"",INDIRECT("B"&amp;MOD(ROUNDUP((ROW()-ROW($B$7)+1)/$A$6,0)-1,$B$6)+ROW($A$7)))&amp;" "&amp;IF($D$6=0,"",INDIRECT("C"&amp;MOD(ROUNDUP((ROW()-ROW($B$7)+1)/($E$6/$D$6),0)-1,$E$6)+ROW($A$7)))&amp;")","")</f>
        <v/>
      </c>
      <c r="I27" s="65" t="str">
        <f ca="1" t="shared" si="4"/>
        <v/>
      </c>
      <c r="J27" s="65" t="str">
        <f ca="1" t="shared" si="5"/>
        <v/>
      </c>
      <c r="M27" s="126" t="str">
        <f ca="1" t="shared" si="6"/>
        <v/>
      </c>
      <c r="N27" s="126" t="str">
        <f ca="1" t="shared" si="0"/>
        <v/>
      </c>
      <c r="O27" s="103" t="str">
        <f ca="1" t="shared" si="7"/>
        <v/>
      </c>
      <c r="P27" s="103" t="str">
        <f ca="1" t="shared" si="1"/>
        <v/>
      </c>
      <c r="Q27" s="97"/>
      <c r="R27" s="167"/>
      <c r="S27" s="168"/>
      <c r="T27" s="168"/>
      <c r="U27" s="168"/>
      <c r="V27" s="168"/>
      <c r="W27" s="168"/>
      <c r="X27" s="168"/>
      <c r="Y27" s="169"/>
    </row>
    <row r="28" s="65" customFormat="1" ht="15.75" spans="1:31">
      <c r="A28" s="132"/>
      <c r="B28" s="132"/>
      <c r="C28" s="132" t="str">
        <f>IFERROR((VLOOKUP(B28,#REF!,2,FALSE)),"")</f>
        <v/>
      </c>
      <c r="D28" s="132"/>
      <c r="E28" s="132"/>
      <c r="F28" s="133">
        <f ca="1" t="shared" si="2"/>
        <v>0</v>
      </c>
      <c r="G28" s="65" t="str">
        <f ca="1" t="shared" si="3"/>
        <v/>
      </c>
      <c r="H28" s="65" t="str">
        <f ca="1">IF(COUNTA($H$5:H27)-1&lt;$E$6,"("&amp;IF($A$6=0,"",INDIRECT("A"&amp;MOD(ROW()-ROW($A$7),$A$6)+ROW($A$7)))&amp;" "&amp;IF($B$6=0,"",INDIRECT("B"&amp;MOD(ROUNDUP((ROW()-ROW($B$7)+1)/$A$6,0)-1,$B$6)+ROW($A$7)))&amp;" "&amp;IF($D$6=0,"",INDIRECT("C"&amp;MOD(ROUNDUP((ROW()-ROW($B$7)+1)/($E$6/$D$6),0)-1,$E$6)+ROW($A$7)))&amp;")","")</f>
        <v/>
      </c>
      <c r="I28" s="65" t="str">
        <f ca="1" t="shared" si="4"/>
        <v/>
      </c>
      <c r="J28" s="65" t="str">
        <f ca="1" t="shared" si="5"/>
        <v/>
      </c>
      <c r="M28" s="126" t="str">
        <f ca="1" t="shared" si="6"/>
        <v/>
      </c>
      <c r="N28" s="126" t="str">
        <f ca="1" t="shared" si="0"/>
        <v/>
      </c>
      <c r="O28" s="103" t="str">
        <f ca="1" t="shared" si="7"/>
        <v/>
      </c>
      <c r="P28" s="103" t="str">
        <f ca="1" t="shared" si="1"/>
        <v/>
      </c>
      <c r="Q28" s="97"/>
    </row>
    <row r="29" s="65" customFormat="1" ht="17" customHeight="1" spans="1:31">
      <c r="A29" s="132"/>
      <c r="B29" s="132"/>
      <c r="C29" s="132" t="str">
        <f>IFERROR((VLOOKUP(B29,#REF!,2,FALSE)),"")</f>
        <v/>
      </c>
      <c r="D29" s="132"/>
      <c r="E29" s="132"/>
      <c r="F29" s="133">
        <f ca="1" t="shared" si="2"/>
        <v>0</v>
      </c>
      <c r="G29" s="65" t="str">
        <f ca="1" t="shared" si="3"/>
        <v/>
      </c>
      <c r="H29" s="65" t="str">
        <f ca="1">IF(COUNTA($H$5:H28)-1&lt;$E$6,"("&amp;IF($A$6=0,"",INDIRECT("A"&amp;MOD(ROW()-ROW($A$7),$A$6)+ROW($A$7)))&amp;" "&amp;IF($B$6=0,"",INDIRECT("B"&amp;MOD(ROUNDUP((ROW()-ROW($B$7)+1)/$A$6,0)-1,$B$6)+ROW($A$7)))&amp;" "&amp;IF($D$6=0,"",INDIRECT("C"&amp;MOD(ROUNDUP((ROW()-ROW($B$7)+1)/($E$6/$D$6),0)-1,$E$6)+ROW($A$7)))&amp;")","")</f>
        <v/>
      </c>
      <c r="I29" s="65" t="str">
        <f ca="1" t="shared" si="4"/>
        <v/>
      </c>
      <c r="J29" s="65" t="str">
        <f ca="1" t="shared" si="5"/>
        <v/>
      </c>
      <c r="M29" s="126" t="str">
        <f ca="1" t="shared" si="6"/>
        <v/>
      </c>
      <c r="N29" s="126" t="str">
        <f ca="1" t="shared" si="0"/>
        <v/>
      </c>
      <c r="O29" s="103" t="str">
        <f ca="1" t="shared" si="7"/>
        <v/>
      </c>
      <c r="P29" s="103" t="str">
        <f ca="1" t="shared" si="1"/>
        <v/>
      </c>
      <c r="Q29" s="97"/>
      <c r="R29" s="170" t="s">
        <v>78</v>
      </c>
      <c r="S29" s="171"/>
      <c r="T29" s="171"/>
      <c r="U29" s="171"/>
      <c r="V29" s="171"/>
      <c r="W29" s="171"/>
      <c r="X29" s="172"/>
      <c r="AC29" s="173"/>
      <c r="AD29" s="173"/>
      <c r="AE29" s="173"/>
    </row>
    <row r="30" s="65" customFormat="1" ht="17" customHeight="1" spans="1:31">
      <c r="A30" s="132"/>
      <c r="B30" s="132"/>
      <c r="C30" s="132" t="str">
        <f>IFERROR((VLOOKUP(B30,#REF!,2,FALSE)),"")</f>
        <v/>
      </c>
      <c r="D30" s="132"/>
      <c r="E30" s="132"/>
      <c r="F30" s="133">
        <f ca="1" t="shared" si="2"/>
        <v>0</v>
      </c>
      <c r="G30" s="65" t="str">
        <f ca="1" t="shared" si="3"/>
        <v/>
      </c>
      <c r="H30" s="65" t="str">
        <f ca="1">IF(COUNTA($H$5:H29)-1&lt;$E$6,"("&amp;IF($A$6=0,"",INDIRECT("A"&amp;MOD(ROW()-ROW($A$7),$A$6)+ROW($A$7)))&amp;" "&amp;IF($B$6=0,"",INDIRECT("B"&amp;MOD(ROUNDUP((ROW()-ROW($B$7)+1)/$A$6,0)-1,$B$6)+ROW($A$7)))&amp;" "&amp;IF($D$6=0,"",INDIRECT("C"&amp;MOD(ROUNDUP((ROW()-ROW($B$7)+1)/($E$6/$D$6),0)-1,$E$6)+ROW($A$7)))&amp;")","")</f>
        <v/>
      </c>
      <c r="I30" s="65" t="str">
        <f ca="1" t="shared" si="4"/>
        <v/>
      </c>
      <c r="J30" s="65" t="str">
        <f ca="1" t="shared" si="5"/>
        <v/>
      </c>
      <c r="M30" s="126" t="str">
        <f ca="1" t="shared" si="6"/>
        <v/>
      </c>
      <c r="N30" s="126" t="str">
        <f ca="1" t="shared" si="0"/>
        <v/>
      </c>
      <c r="O30" s="103" t="str">
        <f ca="1" t="shared" si="7"/>
        <v/>
      </c>
      <c r="P30" s="103" t="str">
        <f ca="1" t="shared" si="1"/>
        <v/>
      </c>
      <c r="Q30" s="97"/>
      <c r="R30" s="174" t="s">
        <v>79</v>
      </c>
      <c r="S30" s="175"/>
      <c r="T30" s="176">
        <v>0.3</v>
      </c>
      <c r="U30" s="176"/>
      <c r="V30" s="176"/>
      <c r="W30" s="176"/>
      <c r="X30" s="176"/>
    </row>
    <row r="31" s="65" customFormat="1" ht="17" customHeight="1" spans="1:31">
      <c r="A31" s="132"/>
      <c r="B31" s="132"/>
      <c r="C31" s="132" t="str">
        <f>IFERROR((VLOOKUP(B31,#REF!,2,FALSE)),"")</f>
        <v/>
      </c>
      <c r="D31" s="132"/>
      <c r="E31" s="132"/>
      <c r="F31" s="133">
        <f ca="1" t="shared" si="2"/>
        <v>0</v>
      </c>
      <c r="G31" s="65" t="str">
        <f ca="1" t="shared" si="3"/>
        <v/>
      </c>
      <c r="H31" s="65" t="str">
        <f ca="1">IF(COUNTA($H$5:H30)-1&lt;$E$6,"("&amp;IF($A$6=0,"",INDIRECT("A"&amp;MOD(ROW()-ROW($A$7),$A$6)+ROW($A$7)))&amp;" "&amp;IF($B$6=0,"",INDIRECT("B"&amp;MOD(ROUNDUP((ROW()-ROW($B$7)+1)/$A$6,0)-1,$B$6)+ROW($A$7)))&amp;" "&amp;IF($D$6=0,"",INDIRECT("C"&amp;MOD(ROUNDUP((ROW()-ROW($B$7)+1)/($E$6/$D$6),0)-1,$E$6)+ROW($A$7)))&amp;")","")</f>
        <v/>
      </c>
      <c r="I31" s="65" t="str">
        <f ca="1" t="shared" si="4"/>
        <v/>
      </c>
      <c r="J31" s="65" t="str">
        <f ca="1" t="shared" si="5"/>
        <v/>
      </c>
      <c r="M31" s="126" t="str">
        <f ca="1" t="shared" si="6"/>
        <v/>
      </c>
      <c r="N31" s="126" t="str">
        <f ca="1" t="shared" si="0"/>
        <v/>
      </c>
      <c r="O31" s="103" t="str">
        <f ca="1" t="shared" si="7"/>
        <v/>
      </c>
      <c r="P31" s="103" t="str">
        <f ca="1" t="shared" si="1"/>
        <v/>
      </c>
      <c r="Q31" s="97"/>
      <c r="R31" s="177" t="s">
        <v>80</v>
      </c>
      <c r="S31" s="178"/>
      <c r="T31" s="179">
        <v>2000</v>
      </c>
      <c r="U31" s="179"/>
      <c r="V31" s="179"/>
      <c r="W31" s="179"/>
      <c r="X31" s="179"/>
    </row>
    <row r="32" s="65" customFormat="1" ht="25.5" spans="1:31">
      <c r="A32" s="132"/>
      <c r="B32" s="132"/>
      <c r="C32" s="132" t="str">
        <f>IFERROR((VLOOKUP(B32,#REF!,2,FALSE)),"")</f>
        <v/>
      </c>
      <c r="D32" s="132"/>
      <c r="E32" s="132"/>
      <c r="F32" s="133">
        <f ca="1" t="shared" si="2"/>
        <v>0</v>
      </c>
      <c r="G32" s="65" t="str">
        <f ca="1" t="shared" si="3"/>
        <v/>
      </c>
      <c r="H32" s="65" t="str">
        <f ca="1">IF(COUNTA($H$5:H31)-1&lt;$E$6,"("&amp;IF($A$6=0,"",INDIRECT("A"&amp;MOD(ROW()-ROW($A$7),$A$6)+ROW($A$7)))&amp;" "&amp;IF($B$6=0,"",INDIRECT("B"&amp;MOD(ROUNDUP((ROW()-ROW($B$7)+1)/$A$6,0)-1,$B$6)+ROW($A$7)))&amp;" "&amp;IF($D$6=0,"",INDIRECT("C"&amp;MOD(ROUNDUP((ROW()-ROW($B$7)+1)/($E$6/$D$6),0)-1,$E$6)+ROW($A$7)))&amp;")","")</f>
        <v/>
      </c>
      <c r="I32" s="65" t="str">
        <f ca="1" t="shared" si="4"/>
        <v/>
      </c>
      <c r="J32" s="65" t="str">
        <f ca="1" t="shared" si="5"/>
        <v/>
      </c>
      <c r="M32" s="126" t="str">
        <f ca="1" t="shared" si="6"/>
        <v/>
      </c>
      <c r="N32" s="126" t="str">
        <f ca="1" t="shared" si="0"/>
        <v/>
      </c>
      <c r="O32" s="103" t="str">
        <f ca="1" t="shared" si="7"/>
        <v/>
      </c>
      <c r="P32" s="103" t="str">
        <f ca="1" t="shared" si="1"/>
        <v/>
      </c>
      <c r="Q32" s="97"/>
      <c r="R32" s="177" t="s">
        <v>81</v>
      </c>
      <c r="S32" s="178"/>
      <c r="T32" s="180" t="s">
        <v>82</v>
      </c>
      <c r="U32" s="180"/>
      <c r="V32" s="180"/>
      <c r="W32" s="180"/>
      <c r="X32" s="180"/>
    </row>
    <row r="33" s="65" customFormat="1" ht="25.5" spans="1:26">
      <c r="A33" s="132"/>
      <c r="B33" s="132"/>
      <c r="C33" s="132" t="str">
        <f>IFERROR((VLOOKUP(B33,#REF!,2,FALSE)),"")</f>
        <v/>
      </c>
      <c r="D33" s="132"/>
      <c r="E33" s="132"/>
      <c r="F33" s="133">
        <f ca="1" t="shared" si="2"/>
        <v>0</v>
      </c>
      <c r="G33" s="65" t="str">
        <f ca="1" t="shared" si="3"/>
        <v/>
      </c>
      <c r="H33" s="65" t="str">
        <f ca="1">IF(COUNTA($H$5:H32)-1&lt;$E$6,"("&amp;IF($A$6=0,"",INDIRECT("A"&amp;MOD(ROW()-ROW($A$7),$A$6)+ROW($A$7)))&amp;" "&amp;IF($B$6=0,"",INDIRECT("B"&amp;MOD(ROUNDUP((ROW()-ROW($B$7)+1)/$A$6,0)-1,$B$6)+ROW($A$7)))&amp;" "&amp;IF($D$6=0,"",INDIRECT("C"&amp;MOD(ROUNDUP((ROW()-ROW($B$7)+1)/($E$6/$D$6),0)-1,$E$6)+ROW($A$7)))&amp;")","")</f>
        <v/>
      </c>
      <c r="I33" s="65" t="str">
        <f ca="1" t="shared" si="4"/>
        <v/>
      </c>
      <c r="J33" s="65" t="str">
        <f ca="1" t="shared" si="5"/>
        <v/>
      </c>
      <c r="M33" s="126" t="str">
        <f ca="1" t="shared" si="6"/>
        <v/>
      </c>
      <c r="N33" s="126" t="str">
        <f ca="1" t="shared" si="0"/>
        <v/>
      </c>
      <c r="O33" s="103" t="str">
        <f ca="1" t="shared" si="7"/>
        <v/>
      </c>
      <c r="P33" s="103" t="str">
        <f ca="1" t="shared" si="1"/>
        <v/>
      </c>
      <c r="Q33" s="97"/>
      <c r="R33" s="177" t="s">
        <v>83</v>
      </c>
      <c r="S33" s="178"/>
      <c r="T33" s="181" t="s">
        <v>84</v>
      </c>
      <c r="U33" s="182"/>
      <c r="V33" s="182"/>
      <c r="W33" s="182"/>
      <c r="X33" s="182"/>
    </row>
    <row r="34" s="65" customFormat="1" ht="25.5" spans="1:26">
      <c r="A34" s="132"/>
      <c r="B34" s="132"/>
      <c r="C34" s="132" t="str">
        <f>IFERROR((VLOOKUP(B34,#REF!,2,FALSE)),"")</f>
        <v/>
      </c>
      <c r="D34" s="132"/>
      <c r="E34" s="132"/>
      <c r="F34" s="133">
        <f ca="1" t="shared" si="2"/>
        <v>0</v>
      </c>
      <c r="G34" s="65" t="str">
        <f ca="1" t="shared" si="3"/>
        <v/>
      </c>
      <c r="H34" s="65" t="str">
        <f ca="1">IF(COUNTA($H$5:H33)-1&lt;$E$6,"("&amp;IF($A$6=0,"",INDIRECT("A"&amp;MOD(ROW()-ROW($A$7),$A$6)+ROW($A$7)))&amp;" "&amp;IF($B$6=0,"",INDIRECT("B"&amp;MOD(ROUNDUP((ROW()-ROW($B$7)+1)/$A$6,0)-1,$B$6)+ROW($A$7)))&amp;" "&amp;IF($D$6=0,"",INDIRECT("C"&amp;MOD(ROUNDUP((ROW()-ROW($B$7)+1)/($E$6/$D$6),0)-1,$E$6)+ROW($A$7)))&amp;")","")</f>
        <v/>
      </c>
      <c r="I34" s="65" t="str">
        <f ca="1" t="shared" si="4"/>
        <v/>
      </c>
      <c r="J34" s="65" t="str">
        <f ca="1" t="shared" si="5"/>
        <v/>
      </c>
      <c r="M34" s="126" t="str">
        <f ca="1" t="shared" si="6"/>
        <v/>
      </c>
      <c r="N34" s="126" t="str">
        <f ca="1" t="shared" si="0"/>
        <v/>
      </c>
      <c r="O34" s="103" t="str">
        <f ca="1" t="shared" si="7"/>
        <v/>
      </c>
      <c r="P34" s="103" t="str">
        <f ca="1" t="shared" si="1"/>
        <v/>
      </c>
      <c r="Q34" s="97"/>
      <c r="R34" s="177" t="s">
        <v>85</v>
      </c>
      <c r="S34" s="183"/>
      <c r="T34" s="184" t="s">
        <v>86</v>
      </c>
      <c r="U34" s="185"/>
      <c r="V34" s="185"/>
      <c r="W34" s="185"/>
      <c r="X34" s="186"/>
    </row>
    <row r="35" s="65" customFormat="1" ht="25.5" spans="1:26">
      <c r="A35" s="132"/>
      <c r="B35" s="132"/>
      <c r="C35" s="132" t="str">
        <f>IFERROR((VLOOKUP(B35,#REF!,2,FALSE)),"")</f>
        <v/>
      </c>
      <c r="D35" s="132"/>
      <c r="E35" s="132"/>
      <c r="F35" s="133">
        <f ca="1" t="shared" si="2"/>
        <v>0</v>
      </c>
      <c r="G35" s="65" t="str">
        <f ca="1" t="shared" si="3"/>
        <v/>
      </c>
      <c r="H35" s="65" t="str">
        <f ca="1">IF(COUNTA($H$5:H34)-1&lt;$E$6,"("&amp;IF($A$6=0,"",INDIRECT("A"&amp;MOD(ROW()-ROW($A$7),$A$6)+ROW($A$7)))&amp;" "&amp;IF($B$6=0,"",INDIRECT("B"&amp;MOD(ROUNDUP((ROW()-ROW($B$7)+1)/$A$6,0)-1,$B$6)+ROW($A$7)))&amp;" "&amp;IF($D$6=0,"",INDIRECT("C"&amp;MOD(ROUNDUP((ROW()-ROW($B$7)+1)/($E$6/$D$6),0)-1,$E$6)+ROW($A$7)))&amp;")","")</f>
        <v/>
      </c>
      <c r="I35" s="65" t="str">
        <f ca="1" t="shared" si="4"/>
        <v/>
      </c>
      <c r="J35" s="65" t="str">
        <f ca="1" t="shared" si="5"/>
        <v/>
      </c>
      <c r="M35" s="126" t="str">
        <f ca="1" t="shared" si="6"/>
        <v/>
      </c>
      <c r="N35" s="126" t="str">
        <f ca="1" t="shared" si="0"/>
        <v/>
      </c>
      <c r="O35" s="103" t="str">
        <f ca="1" t="shared" si="7"/>
        <v/>
      </c>
      <c r="P35" s="103" t="str">
        <f ca="1" t="shared" si="1"/>
        <v/>
      </c>
      <c r="Q35" s="97"/>
      <c r="R35" s="177" t="s">
        <v>87</v>
      </c>
      <c r="S35" s="178"/>
      <c r="T35" s="187">
        <v>566</v>
      </c>
      <c r="U35" s="187"/>
      <c r="V35" s="187"/>
      <c r="W35" s="187"/>
      <c r="X35" s="187"/>
    </row>
    <row r="36" s="65" customFormat="1" ht="26.25" spans="1:26">
      <c r="A36" s="132"/>
      <c r="B36" s="132"/>
      <c r="C36" s="132" t="str">
        <f>IFERROR((VLOOKUP(B36,#REF!,2,FALSE)),"")</f>
        <v/>
      </c>
      <c r="D36" s="132"/>
      <c r="E36" s="132"/>
      <c r="F36" s="133">
        <f ca="1" t="shared" si="2"/>
        <v>0</v>
      </c>
      <c r="G36" s="65" t="str">
        <f ca="1" t="shared" si="3"/>
        <v/>
      </c>
      <c r="H36" s="65" t="str">
        <f ca="1">IF(COUNTA($H$5:H35)-1&lt;$E$6,"("&amp;IF($A$6=0,"",INDIRECT("A"&amp;MOD(ROW()-ROW($A$7),$A$6)+ROW($A$7)))&amp;" "&amp;IF($B$6=0,"",INDIRECT("B"&amp;MOD(ROUNDUP((ROW()-ROW($B$7)+1)/$A$6,0)-1,$B$6)+ROW($A$7)))&amp;" "&amp;IF($D$6=0,"",INDIRECT("C"&amp;MOD(ROUNDUP((ROW()-ROW($B$7)+1)/($E$6/$D$6),0)-1,$E$6)+ROW($A$7)))&amp;")","")</f>
        <v/>
      </c>
      <c r="I36" s="65" t="str">
        <f ca="1" t="shared" si="4"/>
        <v/>
      </c>
      <c r="J36" s="65" t="str">
        <f ca="1" t="shared" si="5"/>
        <v/>
      </c>
      <c r="M36" s="126" t="str">
        <f ca="1" t="shared" si="6"/>
        <v/>
      </c>
      <c r="N36" s="126" t="str">
        <f ca="1" t="shared" si="0"/>
        <v/>
      </c>
      <c r="O36" s="103" t="str">
        <f ca="1" t="shared" si="7"/>
        <v/>
      </c>
      <c r="P36" s="103" t="str">
        <f ca="1" t="shared" si="1"/>
        <v/>
      </c>
      <c r="Q36" s="97"/>
      <c r="R36" s="188" t="s">
        <v>88</v>
      </c>
      <c r="S36" s="188"/>
      <c r="T36" s="180" t="s">
        <v>89</v>
      </c>
      <c r="U36" s="180"/>
      <c r="V36" s="180"/>
      <c r="W36" s="180"/>
      <c r="X36" s="180"/>
    </row>
    <row r="37" s="65" customFormat="1" ht="30" customHeight="1" spans="1:26">
      <c r="A37" s="132"/>
      <c r="B37" s="132"/>
      <c r="C37" s="132" t="str">
        <f>IFERROR((VLOOKUP(B37,#REF!,2,FALSE)),"")</f>
        <v/>
      </c>
      <c r="D37" s="132"/>
      <c r="E37" s="132"/>
      <c r="F37" s="133">
        <f ca="1" t="shared" si="2"/>
        <v>0</v>
      </c>
      <c r="G37" s="65" t="str">
        <f ca="1" t="shared" si="3"/>
        <v/>
      </c>
      <c r="H37" s="65" t="str">
        <f ca="1">IF(COUNTA($H$5:H36)-1&lt;$E$6,"("&amp;IF($A$6=0,"",INDIRECT("A"&amp;MOD(ROW()-ROW($A$7),$A$6)+ROW($A$7)))&amp;" "&amp;IF($B$6=0,"",INDIRECT("B"&amp;MOD(ROUNDUP((ROW()-ROW($B$7)+1)/$A$6,0)-1,$B$6)+ROW($A$7)))&amp;" "&amp;IF($D$6=0,"",INDIRECT("C"&amp;MOD(ROUNDUP((ROW()-ROW($B$7)+1)/($E$6/$D$6),0)-1,$E$6)+ROW($A$7)))&amp;")","")</f>
        <v/>
      </c>
      <c r="I37" s="65" t="str">
        <f ca="1" t="shared" si="4"/>
        <v/>
      </c>
      <c r="J37" s="65" t="str">
        <f ca="1" t="shared" si="5"/>
        <v/>
      </c>
      <c r="M37" s="126" t="str">
        <f ca="1" t="shared" si="6"/>
        <v/>
      </c>
      <c r="N37" s="126" t="str">
        <f ca="1" t="shared" si="0"/>
        <v/>
      </c>
      <c r="O37" s="103" t="str">
        <f ca="1" t="shared" si="7"/>
        <v/>
      </c>
      <c r="P37" s="103" t="str">
        <f ca="1" t="shared" si="1"/>
        <v/>
      </c>
      <c r="Q37" s="97"/>
      <c r="R37" s="189" t="s">
        <v>90</v>
      </c>
      <c r="S37" s="190"/>
      <c r="T37" s="191" t="s">
        <v>91</v>
      </c>
      <c r="U37" s="191"/>
      <c r="V37" s="191"/>
      <c r="W37" s="191"/>
      <c r="X37" s="191"/>
    </row>
    <row r="38" s="65" customFormat="1" ht="15.75" spans="1:26">
      <c r="A38" s="132"/>
      <c r="B38" s="132"/>
      <c r="C38" s="132" t="str">
        <f>IFERROR((VLOOKUP(B38,#REF!,2,FALSE)),"")</f>
        <v/>
      </c>
      <c r="D38" s="132"/>
      <c r="E38" s="132"/>
      <c r="F38" s="133">
        <f ca="1" t="shared" si="2"/>
        <v>0</v>
      </c>
      <c r="G38" s="65" t="str">
        <f ca="1" t="shared" si="3"/>
        <v/>
      </c>
      <c r="H38" s="65" t="str">
        <f ca="1">IF(COUNTA($H$5:H37)-1&lt;$E$6,"("&amp;IF($A$6=0,"",INDIRECT("A"&amp;MOD(ROW()-ROW($A$7),$A$6)+ROW($A$7)))&amp;" "&amp;IF($B$6=0,"",INDIRECT("B"&amp;MOD(ROUNDUP((ROW()-ROW($B$7)+1)/$A$6,0)-1,$B$6)+ROW($A$7)))&amp;" "&amp;IF($D$6=0,"",INDIRECT("C"&amp;MOD(ROUNDUP((ROW()-ROW($B$7)+1)/($E$6/$D$6),0)-1,$E$6)+ROW($A$7)))&amp;")","")</f>
        <v/>
      </c>
      <c r="I38" s="65" t="str">
        <f ca="1" t="shared" si="4"/>
        <v/>
      </c>
      <c r="J38" s="65" t="str">
        <f ca="1" t="shared" si="5"/>
        <v/>
      </c>
      <c r="M38" s="126" t="str">
        <f ca="1" t="shared" si="6"/>
        <v/>
      </c>
      <c r="N38" s="126" t="str">
        <f ca="1" t="shared" si="0"/>
        <v/>
      </c>
      <c r="O38" s="103" t="str">
        <f ca="1" t="shared" si="7"/>
        <v/>
      </c>
      <c r="P38" s="103" t="str">
        <f ca="1" t="shared" si="1"/>
        <v/>
      </c>
      <c r="Q38" s="97"/>
    </row>
    <row r="39" s="65" customFormat="1" ht="15" spans="1:26">
      <c r="A39" s="132"/>
      <c r="B39" s="132"/>
      <c r="C39" s="132" t="str">
        <f>IFERROR((VLOOKUP(B39,#REF!,2,FALSE)),"")</f>
        <v/>
      </c>
      <c r="D39" s="132"/>
      <c r="E39" s="132"/>
      <c r="F39" s="133">
        <f ca="1" t="shared" si="2"/>
        <v>0</v>
      </c>
      <c r="G39" s="65" t="str">
        <f ca="1" t="shared" si="3"/>
        <v/>
      </c>
      <c r="H39" s="65" t="str">
        <f ca="1">IF(COUNTA($H$5:H38)-1&lt;$E$6,"("&amp;IF($A$6=0,"",INDIRECT("A"&amp;MOD(ROW()-ROW($A$7),$A$6)+ROW($A$7)))&amp;" "&amp;IF($B$6=0,"",INDIRECT("B"&amp;MOD(ROUNDUP((ROW()-ROW($B$7)+1)/$A$6,0)-1,$B$6)+ROW($A$7)))&amp;" "&amp;IF($D$6=0,"",INDIRECT("C"&amp;MOD(ROUNDUP((ROW()-ROW($B$7)+1)/($E$6/$D$6),0)-1,$E$6)+ROW($A$7)))&amp;")","")</f>
        <v/>
      </c>
      <c r="I39" s="65" t="str">
        <f ca="1" t="shared" si="4"/>
        <v/>
      </c>
      <c r="J39" s="65" t="str">
        <f ca="1" t="shared" si="5"/>
        <v/>
      </c>
      <c r="M39" s="126" t="str">
        <f ca="1" t="shared" si="6"/>
        <v/>
      </c>
      <c r="N39" s="126" t="str">
        <f ca="1" t="shared" si="0"/>
        <v/>
      </c>
      <c r="O39" s="103" t="str">
        <f ca="1" t="shared" si="7"/>
        <v/>
      </c>
      <c r="P39" s="103" t="str">
        <f ca="1" t="shared" si="1"/>
        <v/>
      </c>
      <c r="Q39" s="97"/>
      <c r="R39" s="110" t="s">
        <v>92</v>
      </c>
      <c r="S39" s="111"/>
      <c r="T39" s="111"/>
      <c r="U39" s="111"/>
      <c r="V39" s="111"/>
      <c r="W39" s="111"/>
      <c r="X39" s="111"/>
      <c r="Y39" s="113"/>
      <c r="Z39" s="113"/>
    </row>
    <row r="40" s="65" customFormat="1" ht="15.75" spans="1:26">
      <c r="A40" s="132"/>
      <c r="B40" s="132"/>
      <c r="C40" s="132" t="str">
        <f>IFERROR((VLOOKUP(B40,#REF!,2,FALSE)),"")</f>
        <v/>
      </c>
      <c r="D40" s="132"/>
      <c r="E40" s="132"/>
      <c r="F40" s="133">
        <f ca="1" t="shared" si="2"/>
        <v>0</v>
      </c>
      <c r="G40" s="65" t="str">
        <f ca="1" t="shared" si="3"/>
        <v/>
      </c>
      <c r="H40" s="65" t="str">
        <f ca="1">IF(COUNTA($H$5:H39)-1&lt;$E$6,"("&amp;IF($A$6=0,"",INDIRECT("A"&amp;MOD(ROW()-ROW($A$7),$A$6)+ROW($A$7)))&amp;" "&amp;IF($B$6=0,"",INDIRECT("B"&amp;MOD(ROUNDUP((ROW()-ROW($B$7)+1)/$A$6,0)-1,$B$6)+ROW($A$7)))&amp;" "&amp;IF($D$6=0,"",INDIRECT("C"&amp;MOD(ROUNDUP((ROW()-ROW($B$7)+1)/($E$6/$D$6),0)-1,$E$6)+ROW($A$7)))&amp;")","")</f>
        <v/>
      </c>
      <c r="I40" s="65" t="str">
        <f ca="1" t="shared" si="4"/>
        <v/>
      </c>
      <c r="J40" s="65" t="str">
        <f ca="1" t="shared" si="5"/>
        <v/>
      </c>
      <c r="M40" s="126" t="str">
        <f ca="1" t="shared" si="6"/>
        <v/>
      </c>
      <c r="N40" s="126" t="str">
        <f ca="1" t="shared" si="0"/>
        <v/>
      </c>
      <c r="O40" s="103" t="str">
        <f ca="1" t="shared" si="7"/>
        <v/>
      </c>
      <c r="P40" s="103" t="str">
        <f ca="1" t="shared" si="1"/>
        <v/>
      </c>
      <c r="Q40" s="97"/>
      <c r="R40" s="119"/>
      <c r="S40" s="120"/>
      <c r="T40" s="120"/>
      <c r="U40" s="120"/>
      <c r="V40" s="120"/>
      <c r="W40" s="120"/>
      <c r="X40" s="120"/>
      <c r="Y40" s="121"/>
      <c r="Z40" s="122"/>
    </row>
    <row r="41" s="65" customFormat="1" ht="15" spans="1:26">
      <c r="A41" s="132"/>
      <c r="B41" s="132"/>
      <c r="C41" s="132" t="str">
        <f>IFERROR((VLOOKUP(B41,#REF!,2,FALSE)),"")</f>
        <v/>
      </c>
      <c r="D41" s="132"/>
      <c r="E41" s="132"/>
      <c r="F41" s="133">
        <f ca="1" t="shared" si="2"/>
        <v>0</v>
      </c>
      <c r="G41" s="65" t="str">
        <f ca="1" t="shared" si="3"/>
        <v/>
      </c>
      <c r="H41" s="65" t="str">
        <f ca="1">IF(COUNTA($H$5:H40)-1&lt;$E$6,"("&amp;IF($A$6=0,"",INDIRECT("A"&amp;MOD(ROW()-ROW($A$7),$A$6)+ROW($A$7)))&amp;" "&amp;IF($B$6=0,"",INDIRECT("B"&amp;MOD(ROUNDUP((ROW()-ROW($B$7)+1)/$A$6,0)-1,$B$6)+ROW($A$7)))&amp;" "&amp;IF($D$6=0,"",INDIRECT("C"&amp;MOD(ROUNDUP((ROW()-ROW($B$7)+1)/($E$6/$D$6),0)-1,$E$6)+ROW($A$7)))&amp;")","")</f>
        <v/>
      </c>
      <c r="I41" s="65" t="str">
        <f ca="1" t="shared" si="4"/>
        <v/>
      </c>
      <c r="J41" s="65" t="str">
        <f ca="1" t="shared" si="5"/>
        <v/>
      </c>
      <c r="M41" s="126" t="str">
        <f ca="1" t="shared" si="6"/>
        <v/>
      </c>
      <c r="N41" s="126" t="str">
        <f ca="1" t="shared" si="0"/>
        <v/>
      </c>
      <c r="O41" s="103" t="str">
        <f ca="1" t="shared" si="7"/>
        <v/>
      </c>
      <c r="P41" s="103" t="str">
        <f ca="1" t="shared" si="1"/>
        <v/>
      </c>
      <c r="Q41" s="97"/>
      <c r="R41" s="127" t="s">
        <v>93</v>
      </c>
      <c r="S41" s="192" t="s">
        <v>94</v>
      </c>
      <c r="T41" s="129"/>
      <c r="U41" s="129"/>
      <c r="V41" s="129"/>
      <c r="W41" s="129"/>
      <c r="X41" s="129"/>
      <c r="Y41" s="130"/>
      <c r="Z41" s="131"/>
    </row>
    <row r="42" s="65" customFormat="1" ht="15" spans="1:26">
      <c r="A42" s="132"/>
      <c r="B42" s="132"/>
      <c r="C42" s="132" t="str">
        <f>IFERROR((VLOOKUP(B42,#REF!,2,FALSE)),"")</f>
        <v/>
      </c>
      <c r="D42" s="132"/>
      <c r="E42" s="132"/>
      <c r="F42" s="133">
        <f ca="1" t="shared" si="2"/>
        <v>0</v>
      </c>
      <c r="G42" s="65" t="str">
        <f ca="1" t="shared" si="3"/>
        <v/>
      </c>
      <c r="H42" s="65" t="str">
        <f ca="1">IF(COUNTA($H$5:H41)-1&lt;$E$6,"("&amp;IF($A$6=0,"",INDIRECT("A"&amp;MOD(ROW()-ROW($A$7),$A$6)+ROW($A$7)))&amp;" "&amp;IF($B$6=0,"",INDIRECT("B"&amp;MOD(ROUNDUP((ROW()-ROW($B$7)+1)/$A$6,0)-1,$B$6)+ROW($A$7)))&amp;" "&amp;IF($D$6=0,"",INDIRECT("C"&amp;MOD(ROUNDUP((ROW()-ROW($B$7)+1)/($E$6/$D$6),0)-1,$E$6)+ROW($A$7)))&amp;")","")</f>
        <v/>
      </c>
      <c r="I42" s="65" t="str">
        <f ca="1" t="shared" si="4"/>
        <v/>
      </c>
      <c r="J42" s="65" t="str">
        <f ca="1" t="shared" si="5"/>
        <v/>
      </c>
      <c r="M42" s="126" t="str">
        <f ca="1" t="shared" si="6"/>
        <v/>
      </c>
      <c r="N42" s="126" t="str">
        <f ca="1" t="shared" si="0"/>
        <v/>
      </c>
      <c r="O42" s="103" t="str">
        <f ca="1" t="shared" si="7"/>
        <v/>
      </c>
      <c r="P42" s="103" t="str">
        <f ca="1" t="shared" si="1"/>
        <v/>
      </c>
      <c r="Q42" s="97"/>
      <c r="R42" s="134"/>
      <c r="S42" s="135"/>
      <c r="T42" s="136"/>
      <c r="U42" s="136"/>
      <c r="V42" s="136"/>
      <c r="W42" s="136"/>
      <c r="X42" s="136"/>
      <c r="Y42" s="137"/>
      <c r="Z42" s="138"/>
    </row>
    <row r="43" s="65" customFormat="1" ht="15" spans="1:26">
      <c r="A43" s="132"/>
      <c r="B43" s="132"/>
      <c r="C43" s="132" t="str">
        <f>IFERROR((VLOOKUP(B43,#REF!,2,FALSE)),"")</f>
        <v/>
      </c>
      <c r="D43" s="132"/>
      <c r="E43" s="193"/>
      <c r="F43" s="133">
        <f ca="1" t="shared" si="2"/>
        <v>0</v>
      </c>
      <c r="G43" s="65" t="str">
        <f ca="1" t="shared" si="3"/>
        <v/>
      </c>
      <c r="H43" s="65" t="str">
        <f ca="1">IF(COUNTA($H$5:H42)-1&lt;$E$6,"("&amp;IF($A$6=0,"",INDIRECT("A"&amp;MOD(ROW()-ROW($A$7),$A$6)+ROW($A$7)))&amp;" "&amp;IF($B$6=0,"",INDIRECT("B"&amp;MOD(ROUNDUP((ROW()-ROW($B$7)+1)/$A$6,0)-1,$B$6)+ROW($A$7)))&amp;" "&amp;IF($D$6=0,"",INDIRECT("C"&amp;MOD(ROUNDUP((ROW()-ROW($B$7)+1)/($E$6/$D$6),0)-1,$E$6)+ROW($A$7)))&amp;")","")</f>
        <v/>
      </c>
      <c r="I43" s="65" t="str">
        <f ca="1" t="shared" si="4"/>
        <v/>
      </c>
      <c r="J43" s="65" t="str">
        <f ca="1" t="shared" si="5"/>
        <v/>
      </c>
      <c r="M43" s="126" t="str">
        <f ca="1" t="shared" si="6"/>
        <v/>
      </c>
      <c r="N43" s="126" t="str">
        <f ca="1" t="shared" si="0"/>
        <v/>
      </c>
      <c r="O43" s="103" t="str">
        <f ca="1" t="shared" si="7"/>
        <v/>
      </c>
      <c r="P43" s="103" t="str">
        <f ca="1" t="shared" si="1"/>
        <v/>
      </c>
      <c r="Q43" s="97"/>
      <c r="R43" s="139" t="s">
        <v>95</v>
      </c>
      <c r="S43" s="194" t="s">
        <v>96</v>
      </c>
      <c r="T43" s="129"/>
      <c r="U43" s="129"/>
      <c r="V43" s="129"/>
      <c r="W43" s="129"/>
      <c r="X43" s="129"/>
      <c r="Y43" s="130"/>
      <c r="Z43" s="131"/>
    </row>
    <row r="44" s="65" customFormat="1" ht="15" spans="1:26">
      <c r="A44" s="132"/>
      <c r="B44" s="132"/>
      <c r="C44" s="132" t="str">
        <f>IFERROR((VLOOKUP(B44,#REF!,2,FALSE)),"")</f>
        <v/>
      </c>
      <c r="D44" s="132"/>
      <c r="E44" s="193"/>
      <c r="F44" s="133">
        <f ca="1" t="shared" si="2"/>
        <v>0</v>
      </c>
      <c r="G44" s="65" t="str">
        <f ca="1" t="shared" si="3"/>
        <v/>
      </c>
      <c r="H44" s="65" t="str">
        <f ca="1">IF(COUNTA($H$5:H43)-1&lt;$E$6,"("&amp;IF($A$6=0,"",INDIRECT("A"&amp;MOD(ROW()-ROW($A$7),$A$6)+ROW($A$7)))&amp;" "&amp;IF($B$6=0,"",INDIRECT("B"&amp;MOD(ROUNDUP((ROW()-ROW($B$7)+1)/$A$6,0)-1,$B$6)+ROW($A$7)))&amp;" "&amp;IF($D$6=0,"",INDIRECT("C"&amp;MOD(ROUNDUP((ROW()-ROW($B$7)+1)/($E$6/$D$6),0)-1,$E$6)+ROW($A$7)))&amp;")","")</f>
        <v/>
      </c>
      <c r="I44" s="65" t="str">
        <f ca="1" t="shared" si="4"/>
        <v/>
      </c>
      <c r="J44" s="65" t="str">
        <f ca="1" t="shared" si="5"/>
        <v/>
      </c>
      <c r="M44" s="126" t="str">
        <f ca="1" t="shared" si="6"/>
        <v/>
      </c>
      <c r="N44" s="126" t="str">
        <f ca="1" t="shared" si="0"/>
        <v/>
      </c>
      <c r="O44" s="103" t="str">
        <f ca="1" t="shared" si="7"/>
        <v/>
      </c>
      <c r="P44" s="103" t="str">
        <f ca="1" t="shared" si="1"/>
        <v/>
      </c>
      <c r="Q44" s="97"/>
      <c r="R44" s="140"/>
      <c r="S44" s="135"/>
      <c r="T44" s="136"/>
      <c r="U44" s="136"/>
      <c r="V44" s="136"/>
      <c r="W44" s="136"/>
      <c r="X44" s="136"/>
      <c r="Y44" s="137"/>
      <c r="Z44" s="138"/>
    </row>
    <row r="45" s="65" customFormat="1" ht="32" customHeight="1" spans="1:26">
      <c r="A45" s="132"/>
      <c r="B45" s="132"/>
      <c r="C45" s="132" t="str">
        <f>IFERROR((VLOOKUP(B45,#REF!,2,FALSE)),"")</f>
        <v/>
      </c>
      <c r="D45" s="132"/>
      <c r="E45" s="193"/>
      <c r="F45" s="133">
        <f ca="1" t="shared" si="2"/>
        <v>0</v>
      </c>
      <c r="G45" s="65" t="str">
        <f ca="1" t="shared" si="3"/>
        <v/>
      </c>
      <c r="H45" s="65" t="str">
        <f ca="1">IF(COUNTA($H$5:H44)-1&lt;$E$6,"("&amp;IF($A$6=0,"",INDIRECT("A"&amp;MOD(ROW()-ROW($A$7),$A$6)+ROW($A$7)))&amp;" "&amp;IF($B$6=0,"",INDIRECT("B"&amp;MOD(ROUNDUP((ROW()-ROW($B$7)+1)/$A$6,0)-1,$B$6)+ROW($A$7)))&amp;" "&amp;IF($D$6=0,"",INDIRECT("C"&amp;MOD(ROUNDUP((ROW()-ROW($B$7)+1)/($E$6/$D$6),0)-1,$E$6)+ROW($A$7)))&amp;")","")</f>
        <v/>
      </c>
      <c r="I45" s="65" t="str">
        <f ca="1" t="shared" si="4"/>
        <v/>
      </c>
      <c r="J45" s="65" t="str">
        <f ca="1" t="shared" si="5"/>
        <v/>
      </c>
      <c r="M45" s="126" t="str">
        <f ca="1" t="shared" si="6"/>
        <v/>
      </c>
      <c r="N45" s="126" t="str">
        <f ca="1" t="shared" si="0"/>
        <v/>
      </c>
      <c r="O45" s="103" t="str">
        <f ca="1" t="shared" si="7"/>
        <v/>
      </c>
      <c r="P45" s="103" t="str">
        <f ca="1" t="shared" si="1"/>
        <v/>
      </c>
      <c r="Q45" s="97"/>
      <c r="R45" s="139" t="s">
        <v>97</v>
      </c>
      <c r="S45" s="194" t="s">
        <v>98</v>
      </c>
      <c r="T45" s="129"/>
      <c r="U45" s="129"/>
      <c r="V45" s="129"/>
      <c r="W45" s="129"/>
      <c r="X45" s="129"/>
      <c r="Y45" s="130"/>
      <c r="Z45" s="131"/>
    </row>
    <row r="46" s="65" customFormat="1" ht="15" spans="1:26">
      <c r="A46" s="132"/>
      <c r="B46" s="132"/>
      <c r="C46" s="132" t="str">
        <f>IFERROR((VLOOKUP(B46,#REF!,2,FALSE)),"")</f>
        <v/>
      </c>
      <c r="D46" s="132"/>
      <c r="E46" s="193"/>
      <c r="F46" s="133">
        <f ca="1" t="shared" si="2"/>
        <v>0</v>
      </c>
      <c r="G46" s="65" t="str">
        <f ca="1" t="shared" si="3"/>
        <v/>
      </c>
      <c r="H46" s="65" t="str">
        <f ca="1">IF(COUNTA($H$5:H45)-1&lt;$E$6,"("&amp;IF($A$6=0,"",INDIRECT("A"&amp;MOD(ROW()-ROW($A$7),$A$6)+ROW($A$7)))&amp;" "&amp;IF($B$6=0,"",INDIRECT("B"&amp;MOD(ROUNDUP((ROW()-ROW($B$7)+1)/$A$6,0)-1,$B$6)+ROW($A$7)))&amp;" "&amp;IF($D$6=0,"",INDIRECT("C"&amp;MOD(ROUNDUP((ROW()-ROW($B$7)+1)/($E$6/$D$6),0)-1,$E$6)+ROW($A$7)))&amp;")","")</f>
        <v/>
      </c>
      <c r="I46" s="65" t="str">
        <f ca="1" t="shared" si="4"/>
        <v/>
      </c>
      <c r="J46" s="65" t="str">
        <f ca="1" t="shared" si="5"/>
        <v/>
      </c>
      <c r="M46" s="126" t="str">
        <f ca="1" t="shared" si="6"/>
        <v/>
      </c>
      <c r="N46" s="126" t="str">
        <f ca="1" t="shared" si="0"/>
        <v/>
      </c>
      <c r="O46" s="103" t="str">
        <f ca="1" t="shared" si="7"/>
        <v/>
      </c>
      <c r="P46" s="103" t="str">
        <f ca="1" t="shared" si="1"/>
        <v/>
      </c>
      <c r="Q46" s="97"/>
      <c r="R46" s="140"/>
      <c r="S46" s="135"/>
      <c r="T46" s="136"/>
      <c r="U46" s="136"/>
      <c r="V46" s="136"/>
      <c r="W46" s="136"/>
      <c r="X46" s="136"/>
      <c r="Y46" s="137"/>
      <c r="Z46" s="138"/>
    </row>
    <row r="47" s="65" customFormat="1" ht="15" spans="1:26">
      <c r="A47" s="132"/>
      <c r="B47" s="132"/>
      <c r="C47" s="132" t="str">
        <f>IFERROR((VLOOKUP(B47,#REF!,2,FALSE)),"")</f>
        <v/>
      </c>
      <c r="D47" s="132"/>
      <c r="E47" s="193"/>
      <c r="F47" s="133">
        <f ca="1" t="shared" si="2"/>
        <v>0</v>
      </c>
      <c r="G47" s="65" t="str">
        <f ca="1" t="shared" si="3"/>
        <v/>
      </c>
      <c r="H47" s="65" t="str">
        <f ca="1">IF(COUNTA($H$5:H46)-1&lt;$E$6,"("&amp;IF($A$6=0,"",INDIRECT("A"&amp;MOD(ROW()-ROW($A$7),$A$6)+ROW($A$7)))&amp;" "&amp;IF($B$6=0,"",INDIRECT("B"&amp;MOD(ROUNDUP((ROW()-ROW($B$7)+1)/$A$6,0)-1,$B$6)+ROW($A$7)))&amp;" "&amp;IF($D$6=0,"",INDIRECT("C"&amp;MOD(ROUNDUP((ROW()-ROW($B$7)+1)/($E$6/$D$6),0)-1,$E$6)+ROW($A$7)))&amp;")","")</f>
        <v/>
      </c>
      <c r="I47" s="65" t="str">
        <f ca="1" t="shared" si="4"/>
        <v/>
      </c>
      <c r="J47" s="65" t="str">
        <f ca="1" t="shared" ref="J47:J77" si="8">IF(OR(H47="",$G$1=""),"",$B$3&amp;$G$1&amp;H47)</f>
        <v/>
      </c>
      <c r="M47" s="126" t="str">
        <f ca="1" t="shared" si="6"/>
        <v/>
      </c>
      <c r="N47" s="126" t="str">
        <f ca="1" t="shared" si="0"/>
        <v/>
      </c>
      <c r="O47" s="103" t="str">
        <f ca="1" t="shared" si="7"/>
        <v/>
      </c>
      <c r="P47" s="103" t="str">
        <f ca="1" t="shared" si="1"/>
        <v/>
      </c>
      <c r="Q47" s="97"/>
      <c r="R47" s="139" t="s">
        <v>99</v>
      </c>
      <c r="S47" s="194" t="s">
        <v>100</v>
      </c>
      <c r="T47" s="129"/>
      <c r="U47" s="129"/>
      <c r="V47" s="129"/>
      <c r="W47" s="129"/>
      <c r="X47" s="129"/>
      <c r="Y47" s="130"/>
      <c r="Z47" s="131"/>
    </row>
    <row r="48" s="65" customFormat="1" ht="15" spans="1:26">
      <c r="A48" s="132"/>
      <c r="B48" s="132"/>
      <c r="C48" s="132" t="str">
        <f>IFERROR((VLOOKUP(B48,#REF!,2,FALSE)),"")</f>
        <v/>
      </c>
      <c r="D48" s="132"/>
      <c r="E48" s="193"/>
      <c r="F48" s="133">
        <f ca="1" t="shared" si="2"/>
        <v>0</v>
      </c>
      <c r="G48" s="65" t="str">
        <f ca="1" t="shared" si="3"/>
        <v/>
      </c>
      <c r="H48" s="65" t="str">
        <f ca="1">IF(COUNTA($H$5:H47)-1&lt;$E$6,"("&amp;IF($A$6=0,"",INDIRECT("A"&amp;MOD(ROW()-ROW($A$7),$A$6)+ROW($A$7)))&amp;" "&amp;IF($B$6=0,"",INDIRECT("B"&amp;MOD(ROUNDUP((ROW()-ROW($B$7)+1)/$A$6,0)-1,$B$6)+ROW($A$7)))&amp;" "&amp;IF($D$6=0,"",INDIRECT("C"&amp;MOD(ROUNDUP((ROW()-ROW($B$7)+1)/($E$6/$D$6),0)-1,$E$6)+ROW($A$7)))&amp;")","")</f>
        <v/>
      </c>
      <c r="I48" s="65" t="str">
        <f ca="1" t="shared" si="4"/>
        <v/>
      </c>
      <c r="J48" s="65" t="str">
        <f ca="1" t="shared" si="8"/>
        <v/>
      </c>
      <c r="M48" s="126" t="str">
        <f ca="1" t="shared" si="6"/>
        <v/>
      </c>
      <c r="N48" s="126" t="str">
        <f ca="1" t="shared" si="0"/>
        <v/>
      </c>
      <c r="O48" s="103" t="str">
        <f ca="1" t="shared" si="7"/>
        <v/>
      </c>
      <c r="P48" s="103" t="str">
        <f ca="1" t="shared" si="1"/>
        <v/>
      </c>
      <c r="Q48" s="97"/>
      <c r="R48" s="140"/>
      <c r="S48" s="135"/>
      <c r="T48" s="136"/>
      <c r="U48" s="136"/>
      <c r="V48" s="136"/>
      <c r="W48" s="136"/>
      <c r="X48" s="136"/>
      <c r="Y48" s="137"/>
      <c r="Z48" s="138"/>
    </row>
    <row r="49" s="65" customFormat="1" ht="15" spans="1:26">
      <c r="A49" s="132"/>
      <c r="B49" s="132"/>
      <c r="C49" s="132" t="str">
        <f>IFERROR((VLOOKUP(B49,#REF!,2,FALSE)),"")</f>
        <v/>
      </c>
      <c r="D49" s="132"/>
      <c r="E49" s="193"/>
      <c r="F49" s="133">
        <f ca="1" t="shared" si="2"/>
        <v>0</v>
      </c>
      <c r="G49" s="65" t="str">
        <f ca="1" t="shared" si="3"/>
        <v/>
      </c>
      <c r="H49" s="65" t="str">
        <f ca="1">IF(COUNTA($H$5:H48)-1&lt;$E$6,"("&amp;IF($A$6=0,"",INDIRECT("A"&amp;MOD(ROW()-ROW($A$7),$A$6)+ROW($A$7)))&amp;" "&amp;IF($B$6=0,"",INDIRECT("B"&amp;MOD(ROUNDUP((ROW()-ROW($B$7)+1)/$A$6,0)-1,$B$6)+ROW($A$7)))&amp;" "&amp;IF($D$6=0,"",INDIRECT("C"&amp;MOD(ROUNDUP((ROW()-ROW($B$7)+1)/($E$6/$D$6),0)-1,$E$6)+ROW($A$7)))&amp;")","")</f>
        <v/>
      </c>
      <c r="I49" s="65" t="str">
        <f ca="1" t="shared" si="4"/>
        <v/>
      </c>
      <c r="J49" s="65" t="str">
        <f ca="1" t="shared" si="8"/>
        <v/>
      </c>
      <c r="M49" s="126" t="str">
        <f ca="1" t="shared" si="6"/>
        <v/>
      </c>
      <c r="N49" s="126" t="str">
        <f ca="1" t="shared" si="0"/>
        <v/>
      </c>
      <c r="O49" s="103" t="str">
        <f ca="1" t="shared" si="7"/>
        <v/>
      </c>
      <c r="P49" s="103" t="str">
        <f ca="1" t="shared" si="1"/>
        <v/>
      </c>
      <c r="Q49" s="97"/>
      <c r="R49" s="139" t="s">
        <v>101</v>
      </c>
      <c r="S49" s="195" t="s">
        <v>102</v>
      </c>
      <c r="T49" s="129"/>
      <c r="U49" s="129"/>
      <c r="V49" s="129"/>
      <c r="W49" s="129"/>
      <c r="X49" s="129"/>
      <c r="Y49" s="130"/>
      <c r="Z49" s="131"/>
    </row>
    <row r="50" s="65" customFormat="1" ht="15" spans="1:26">
      <c r="A50" s="132"/>
      <c r="B50" s="132"/>
      <c r="C50" s="132" t="str">
        <f>IFERROR((VLOOKUP(B50,#REF!,2,FALSE)),"")</f>
        <v/>
      </c>
      <c r="D50" s="132"/>
      <c r="E50" s="193"/>
      <c r="F50" s="133">
        <f ca="1" t="shared" si="2"/>
        <v>0</v>
      </c>
      <c r="G50" s="65" t="str">
        <f ca="1" t="shared" si="3"/>
        <v/>
      </c>
      <c r="H50" s="65" t="str">
        <f ca="1">IF(COUNTA($H$5:H49)-1&lt;$E$6,"("&amp;IF($A$6=0,"",INDIRECT("A"&amp;MOD(ROW()-ROW($A$7),$A$6)+ROW($A$7)))&amp;" "&amp;IF($B$6=0,"",INDIRECT("B"&amp;MOD(ROUNDUP((ROW()-ROW($B$7)+1)/$A$6,0)-1,$B$6)+ROW($A$7)))&amp;" "&amp;IF($D$6=0,"",INDIRECT("C"&amp;MOD(ROUNDUP((ROW()-ROW($B$7)+1)/($E$6/$D$6),0)-1,$E$6)+ROW($A$7)))&amp;")","")</f>
        <v/>
      </c>
      <c r="I50" s="65" t="str">
        <f ca="1" t="shared" si="4"/>
        <v/>
      </c>
      <c r="J50" s="65" t="str">
        <f ca="1" t="shared" si="8"/>
        <v/>
      </c>
      <c r="M50" s="126" t="str">
        <f ca="1" t="shared" si="6"/>
        <v/>
      </c>
      <c r="N50" s="126" t="str">
        <f ca="1" t="shared" si="0"/>
        <v/>
      </c>
      <c r="O50" s="103" t="str">
        <f ca="1" t="shared" si="7"/>
        <v/>
      </c>
      <c r="P50" s="103" t="str">
        <f ca="1" t="shared" si="1"/>
        <v/>
      </c>
      <c r="Q50" s="97"/>
      <c r="R50" s="140"/>
      <c r="S50" s="135"/>
      <c r="T50" s="136"/>
      <c r="U50" s="136"/>
      <c r="V50" s="136"/>
      <c r="W50" s="136"/>
      <c r="X50" s="136"/>
      <c r="Y50" s="137"/>
      <c r="Z50" s="138"/>
    </row>
    <row r="51" s="65" customFormat="1" ht="15" spans="1:26">
      <c r="A51" s="132"/>
      <c r="B51" s="132"/>
      <c r="C51" s="132" t="str">
        <f>IFERROR((VLOOKUP(B51,#REF!,2,FALSE)),"")</f>
        <v/>
      </c>
      <c r="D51" s="132"/>
      <c r="E51" s="193"/>
      <c r="F51" s="133">
        <f ca="1" t="shared" si="2"/>
        <v>0</v>
      </c>
      <c r="G51" s="65" t="str">
        <f ca="1" t="shared" si="3"/>
        <v/>
      </c>
      <c r="H51" s="65" t="str">
        <f ca="1">IF(COUNTA($H$5:H50)-1&lt;$E$6,"("&amp;IF($A$6=0,"",INDIRECT("A"&amp;MOD(ROW()-ROW($A$7),$A$6)+ROW($A$7)))&amp;" "&amp;IF($B$6=0,"",INDIRECT("B"&amp;MOD(ROUNDUP((ROW()-ROW($B$7)+1)/$A$6,0)-1,$B$6)+ROW($A$7)))&amp;" "&amp;IF($D$6=0,"",INDIRECT("C"&amp;MOD(ROUNDUP((ROW()-ROW($B$7)+1)/($E$6/$D$6),0)-1,$E$6)+ROW($A$7)))&amp;")","")</f>
        <v/>
      </c>
      <c r="I51" s="65" t="str">
        <f ca="1" t="shared" si="4"/>
        <v/>
      </c>
      <c r="J51" s="65" t="str">
        <f ca="1" t="shared" si="8"/>
        <v/>
      </c>
      <c r="M51" s="126" t="str">
        <f ca="1" t="shared" si="6"/>
        <v/>
      </c>
      <c r="N51" s="126" t="str">
        <f ca="1" t="shared" si="0"/>
        <v/>
      </c>
      <c r="O51" s="103" t="str">
        <f ca="1" t="shared" si="7"/>
        <v/>
      </c>
      <c r="P51" s="103" t="str">
        <f ca="1" t="shared" si="1"/>
        <v/>
      </c>
      <c r="Q51" s="97"/>
      <c r="R51" s="144"/>
      <c r="S51" s="141"/>
      <c r="T51" s="142"/>
      <c r="U51" s="142"/>
      <c r="V51" s="142"/>
      <c r="W51" s="142"/>
      <c r="X51" s="142"/>
      <c r="Y51" s="143"/>
      <c r="Z51" s="131"/>
    </row>
    <row r="52" s="65" customFormat="1" ht="15" spans="1:26">
      <c r="A52" s="132"/>
      <c r="B52" s="132"/>
      <c r="C52" s="132" t="str">
        <f>IFERROR((VLOOKUP(B52,#REF!,2,FALSE)),"")</f>
        <v/>
      </c>
      <c r="D52" s="132"/>
      <c r="E52" s="193"/>
      <c r="F52" s="133">
        <f ca="1" t="shared" si="2"/>
        <v>0</v>
      </c>
      <c r="G52" s="65" t="str">
        <f ca="1" t="shared" si="3"/>
        <v/>
      </c>
      <c r="H52" s="65" t="str">
        <f ca="1">IF(COUNTA($H$5:H51)-1&lt;$E$6,"("&amp;IF($A$6=0,"",INDIRECT("A"&amp;MOD(ROW()-ROW($A$7),$A$6)+ROW($A$7)))&amp;" "&amp;IF($B$6=0,"",INDIRECT("B"&amp;MOD(ROUNDUP((ROW()-ROW($B$7)+1)/$A$6,0)-1,$B$6)+ROW($A$7)))&amp;" "&amp;IF($D$6=0,"",INDIRECT("C"&amp;MOD(ROUNDUP((ROW()-ROW($B$7)+1)/($E$6/$D$6),0)-1,$E$6)+ROW($A$7)))&amp;")","")</f>
        <v/>
      </c>
      <c r="I52" s="65" t="str">
        <f ca="1" t="shared" si="4"/>
        <v/>
      </c>
      <c r="J52" s="65" t="str">
        <f ca="1" t="shared" si="8"/>
        <v/>
      </c>
      <c r="M52" s="126" t="str">
        <f ca="1" t="shared" si="6"/>
        <v/>
      </c>
      <c r="N52" s="126" t="str">
        <f ca="1" t="shared" si="0"/>
        <v/>
      </c>
      <c r="O52" s="103" t="str">
        <f ca="1" t="shared" si="7"/>
        <v/>
      </c>
      <c r="P52" s="103" t="str">
        <f ca="1" t="shared" si="1"/>
        <v/>
      </c>
      <c r="Q52" s="97"/>
      <c r="R52" s="145"/>
      <c r="S52" s="135"/>
      <c r="T52" s="136"/>
      <c r="U52" s="136"/>
      <c r="V52" s="136"/>
      <c r="W52" s="136"/>
      <c r="X52" s="136"/>
      <c r="Y52" s="137"/>
      <c r="Z52" s="138"/>
    </row>
    <row r="53" s="65" customFormat="1" ht="15" spans="1:26">
      <c r="A53" s="132"/>
      <c r="B53" s="132"/>
      <c r="C53" s="132" t="str">
        <f>IFERROR((VLOOKUP(B53,#REF!,2,FALSE)),"")</f>
        <v/>
      </c>
      <c r="D53" s="132"/>
      <c r="E53" s="193"/>
      <c r="F53" s="133">
        <f ca="1" t="shared" si="2"/>
        <v>0</v>
      </c>
      <c r="G53" s="65" t="str">
        <f ca="1" t="shared" si="3"/>
        <v/>
      </c>
      <c r="H53" s="65" t="str">
        <f ca="1">IF(COUNTA($H$5:H52)-1&lt;$E$6,"("&amp;IF($A$6=0,"",INDIRECT("A"&amp;MOD(ROW()-ROW($A$7),$A$6)+ROW($A$7)))&amp;" "&amp;IF($B$6=0,"",INDIRECT("B"&amp;MOD(ROUNDUP((ROW()-ROW($B$7)+1)/$A$6,0)-1,$B$6)+ROW($A$7)))&amp;" "&amp;IF($D$6=0,"",INDIRECT("C"&amp;MOD(ROUNDUP((ROW()-ROW($B$7)+1)/($E$6/$D$6),0)-1,$E$6)+ROW($A$7)))&amp;")","")</f>
        <v/>
      </c>
      <c r="I53" s="65" t="str">
        <f ca="1" t="shared" si="4"/>
        <v/>
      </c>
      <c r="J53" s="65" t="str">
        <f ca="1" t="shared" si="8"/>
        <v/>
      </c>
      <c r="M53" s="126" t="str">
        <f ca="1" t="shared" si="6"/>
        <v/>
      </c>
      <c r="N53" s="126" t="str">
        <f ca="1" t="shared" si="0"/>
        <v/>
      </c>
      <c r="O53" s="103" t="str">
        <f ca="1" t="shared" si="7"/>
        <v/>
      </c>
      <c r="P53" s="103" t="str">
        <f ca="1" t="shared" si="1"/>
        <v/>
      </c>
      <c r="Q53" s="97"/>
      <c r="R53" s="196" t="s">
        <v>103</v>
      </c>
      <c r="S53" s="197" t="s">
        <v>104</v>
      </c>
      <c r="T53" s="142"/>
      <c r="U53" s="142"/>
      <c r="V53" s="142"/>
      <c r="W53" s="142"/>
      <c r="X53" s="142"/>
      <c r="Y53" s="143"/>
      <c r="Z53" s="131"/>
    </row>
    <row r="54" s="65" customFormat="1" ht="15.75" spans="1:26">
      <c r="A54" s="132"/>
      <c r="B54" s="132"/>
      <c r="C54" s="132" t="str">
        <f>IFERROR((VLOOKUP(B54,#REF!,2,FALSE)),"")</f>
        <v/>
      </c>
      <c r="D54" s="132"/>
      <c r="E54" s="193"/>
      <c r="F54" s="133">
        <f ca="1" t="shared" si="2"/>
        <v>0</v>
      </c>
      <c r="G54" s="65" t="str">
        <f ca="1" t="shared" si="3"/>
        <v/>
      </c>
      <c r="H54" s="65" t="str">
        <f ca="1">IF(COUNTA($H$5:H53)-1&lt;$E$6,"("&amp;IF($A$6=0,"",INDIRECT("A"&amp;MOD(ROW()-ROW($A$7),$A$6)+ROW($A$7)))&amp;" "&amp;IF($B$6=0,"",INDIRECT("B"&amp;MOD(ROUNDUP((ROW()-ROW($B$7)+1)/$A$6,0)-1,$B$6)+ROW($A$7)))&amp;" "&amp;IF($D$6=0,"",INDIRECT("C"&amp;MOD(ROUNDUP((ROW()-ROW($B$7)+1)/($E$6/$D$6),0)-1,$E$6)+ROW($A$7)))&amp;")","")</f>
        <v/>
      </c>
      <c r="I54" s="65" t="str">
        <f ca="1" t="shared" si="4"/>
        <v/>
      </c>
      <c r="J54" s="65" t="str">
        <f ca="1" t="shared" si="8"/>
        <v/>
      </c>
      <c r="M54" s="126" t="str">
        <f ca="1" t="shared" si="6"/>
        <v/>
      </c>
      <c r="N54" s="126" t="str">
        <f ca="1" t="shared" si="0"/>
        <v/>
      </c>
      <c r="O54" s="103" t="str">
        <f ca="1" t="shared" si="7"/>
        <v/>
      </c>
      <c r="P54" s="103" t="str">
        <f ca="1" t="shared" si="1"/>
        <v/>
      </c>
      <c r="Q54" s="97"/>
      <c r="R54" s="148"/>
      <c r="S54" s="149"/>
      <c r="T54" s="150"/>
      <c r="U54" s="150"/>
      <c r="V54" s="150"/>
      <c r="W54" s="150"/>
      <c r="X54" s="150"/>
      <c r="Y54" s="151"/>
      <c r="Z54" s="152"/>
    </row>
    <row r="55" s="65" customFormat="1" ht="15" spans="1:26">
      <c r="A55" s="132"/>
      <c r="B55" s="132"/>
      <c r="C55" s="132" t="str">
        <f>IFERROR((VLOOKUP(B55,#REF!,2,FALSE)),"")</f>
        <v/>
      </c>
      <c r="D55" s="132"/>
      <c r="E55" s="193"/>
      <c r="F55" s="133">
        <f ca="1" t="shared" si="2"/>
        <v>0</v>
      </c>
      <c r="G55" s="65" t="str">
        <f ca="1" t="shared" si="3"/>
        <v/>
      </c>
      <c r="H55" s="65" t="str">
        <f ca="1">IF(COUNTA($H$5:H54)-1&lt;$E$6,"("&amp;IF($A$6=0,"",INDIRECT("A"&amp;MOD(ROW()-ROW($A$7),$A$6)+ROW($A$7)))&amp;" "&amp;IF($B$6=0,"",INDIRECT("B"&amp;MOD(ROUNDUP((ROW()-ROW($B$7)+1)/$A$6,0)-1,$B$6)+ROW($A$7)))&amp;" "&amp;IF($D$6=0,"",INDIRECT("C"&amp;MOD(ROUNDUP((ROW()-ROW($B$7)+1)/($E$6/$D$6),0)-1,$E$6)+ROW($A$7)))&amp;")","")</f>
        <v/>
      </c>
      <c r="I55" s="65" t="str">
        <f ca="1" t="shared" si="4"/>
        <v/>
      </c>
      <c r="J55" s="65" t="str">
        <f ca="1" t="shared" si="8"/>
        <v/>
      </c>
      <c r="M55" s="126" t="str">
        <f ca="1" t="shared" si="6"/>
        <v/>
      </c>
      <c r="N55" s="126" t="str">
        <f ca="1" t="shared" si="0"/>
        <v/>
      </c>
      <c r="O55" s="103" t="str">
        <f ca="1" t="shared" si="7"/>
        <v/>
      </c>
      <c r="P55" s="103" t="str">
        <f ca="1" t="shared" si="1"/>
        <v/>
      </c>
      <c r="Q55" s="97"/>
    </row>
    <row r="56" s="65" customFormat="1" ht="15" spans="1:26">
      <c r="A56" s="132"/>
      <c r="B56" s="132"/>
      <c r="C56" s="132" t="str">
        <f>IFERROR((VLOOKUP(B56,#REF!,2,FALSE)),"")</f>
        <v/>
      </c>
      <c r="D56" s="132"/>
      <c r="E56" s="193"/>
      <c r="F56" s="133">
        <f ca="1" t="shared" si="2"/>
        <v>0</v>
      </c>
      <c r="G56" s="65" t="str">
        <f ca="1" t="shared" si="3"/>
        <v/>
      </c>
      <c r="H56" s="65" t="str">
        <f ca="1">IF(COUNTA($H$5:H55)-1&lt;$E$6,"("&amp;IF($A$6=0,"",INDIRECT("A"&amp;MOD(ROW()-ROW($A$7),$A$6)+ROW($A$7)))&amp;" "&amp;IF($B$6=0,"",INDIRECT("B"&amp;MOD(ROUNDUP((ROW()-ROW($B$7)+1)/$A$6,0)-1,$B$6)+ROW($A$7)))&amp;" "&amp;IF($D$6=0,"",INDIRECT("C"&amp;MOD(ROUNDUP((ROW()-ROW($B$7)+1)/($E$6/$D$6),0)-1,$E$6)+ROW($A$7)))&amp;")","")</f>
        <v/>
      </c>
      <c r="I56" s="65" t="str">
        <f ca="1" t="shared" si="4"/>
        <v/>
      </c>
      <c r="J56" s="65" t="str">
        <f ca="1" t="shared" si="8"/>
        <v/>
      </c>
      <c r="M56" s="126" t="str">
        <f ca="1" t="shared" si="6"/>
        <v/>
      </c>
      <c r="N56" s="126" t="str">
        <f ca="1" t="shared" si="0"/>
        <v/>
      </c>
      <c r="O56" s="103" t="str">
        <f ca="1" t="shared" si="7"/>
        <v/>
      </c>
      <c r="P56" s="103" t="str">
        <f ca="1" t="shared" si="1"/>
        <v/>
      </c>
      <c r="Q56" s="97"/>
    </row>
    <row r="57" s="65" customFormat="1" ht="15" spans="1:26">
      <c r="A57" s="132"/>
      <c r="B57" s="132"/>
      <c r="C57" s="132" t="str">
        <f>IFERROR((VLOOKUP(B57,#REF!,2,FALSE)),"")</f>
        <v/>
      </c>
      <c r="D57" s="132"/>
      <c r="E57" s="193"/>
      <c r="F57" s="133">
        <f ca="1" t="shared" si="2"/>
        <v>0</v>
      </c>
      <c r="G57" s="65" t="str">
        <f ca="1" t="shared" si="3"/>
        <v/>
      </c>
      <c r="H57" s="65" t="str">
        <f ca="1">IF(COUNTA($H$5:H56)-1&lt;$E$6,"("&amp;IF($A$6=0,"",INDIRECT("A"&amp;MOD(ROW()-ROW($A$7),$A$6)+ROW($A$7)))&amp;" "&amp;IF($B$6=0,"",INDIRECT("B"&amp;MOD(ROUNDUP((ROW()-ROW($B$7)+1)/$A$6,0)-1,$B$6)+ROW($A$7)))&amp;" "&amp;IF($D$6=0,"",INDIRECT("C"&amp;MOD(ROUNDUP((ROW()-ROW($B$7)+1)/($E$6/$D$6),0)-1,$E$6)+ROW($A$7)))&amp;")","")</f>
        <v/>
      </c>
      <c r="I57" s="65" t="str">
        <f ca="1" t="shared" si="4"/>
        <v/>
      </c>
      <c r="J57" s="65" t="str">
        <f ca="1" t="shared" si="8"/>
        <v/>
      </c>
      <c r="M57" s="126" t="str">
        <f ca="1" t="shared" si="6"/>
        <v/>
      </c>
      <c r="N57" s="126" t="str">
        <f ca="1" t="shared" si="0"/>
        <v/>
      </c>
      <c r="O57" s="103" t="str">
        <f ca="1" t="shared" si="7"/>
        <v/>
      </c>
      <c r="P57" s="103" t="str">
        <f ca="1" t="shared" si="1"/>
        <v/>
      </c>
      <c r="Q57" s="97"/>
    </row>
    <row r="58" s="65" customFormat="1" ht="15" spans="1:26">
      <c r="A58" s="132"/>
      <c r="B58" s="132"/>
      <c r="C58" s="132" t="str">
        <f>IFERROR((VLOOKUP(B58,#REF!,2,FALSE)),"")</f>
        <v/>
      </c>
      <c r="D58" s="132"/>
      <c r="E58" s="193"/>
      <c r="F58" s="133">
        <f ca="1" t="shared" si="2"/>
        <v>0</v>
      </c>
      <c r="G58" s="65" t="str">
        <f ca="1" t="shared" si="3"/>
        <v/>
      </c>
      <c r="H58" s="65" t="str">
        <f ca="1">IF(COUNTA($H$5:H57)-1&lt;$E$6,"("&amp;IF($A$6=0,"",INDIRECT("A"&amp;MOD(ROW()-ROW($A$7),$A$6)+ROW($A$7)))&amp;" "&amp;IF($B$6=0,"",INDIRECT("B"&amp;MOD(ROUNDUP((ROW()-ROW($B$7)+1)/$A$6,0)-1,$B$6)+ROW($A$7)))&amp;" "&amp;IF($D$6=0,"",INDIRECT("C"&amp;MOD(ROUNDUP((ROW()-ROW($B$7)+1)/($E$6/$D$6),0)-1,$E$6)+ROW($A$7)))&amp;")","")</f>
        <v/>
      </c>
      <c r="I58" s="65" t="str">
        <f ca="1" t="shared" si="4"/>
        <v/>
      </c>
      <c r="J58" s="65" t="str">
        <f ca="1" t="shared" si="8"/>
        <v/>
      </c>
      <c r="M58" s="126" t="str">
        <f ca="1" t="shared" si="6"/>
        <v/>
      </c>
      <c r="N58" s="126" t="str">
        <f ca="1" t="shared" si="0"/>
        <v/>
      </c>
      <c r="O58" s="103" t="str">
        <f ca="1" t="shared" si="7"/>
        <v/>
      </c>
      <c r="P58" s="103" t="str">
        <f ca="1" t="shared" si="1"/>
        <v/>
      </c>
      <c r="Q58" s="97"/>
    </row>
    <row r="59" s="65" customFormat="1" ht="15" spans="1:26">
      <c r="A59" s="132"/>
      <c r="B59" s="132"/>
      <c r="C59" s="132" t="str">
        <f>IFERROR((VLOOKUP(B59,#REF!,2,FALSE)),"")</f>
        <v/>
      </c>
      <c r="D59" s="132"/>
      <c r="E59" s="193"/>
      <c r="F59" s="133">
        <f ca="1" t="shared" si="2"/>
        <v>0</v>
      </c>
      <c r="G59" s="65" t="str">
        <f ca="1" t="shared" si="3"/>
        <v/>
      </c>
      <c r="H59" s="65" t="str">
        <f ca="1">IF(COUNTA($H$5:H58)-1&lt;$E$6,"("&amp;IF($A$6=0,"",INDIRECT("A"&amp;MOD(ROW()-ROW($A$7),$A$6)+ROW($A$7)))&amp;" "&amp;IF($B$6=0,"",INDIRECT("B"&amp;MOD(ROUNDUP((ROW()-ROW($B$7)+1)/$A$6,0)-1,$B$6)+ROW($A$7)))&amp;" "&amp;IF($D$6=0,"",INDIRECT("C"&amp;MOD(ROUNDUP((ROW()-ROW($B$7)+1)/($E$6/$D$6),0)-1,$E$6)+ROW($A$7)))&amp;")","")</f>
        <v/>
      </c>
      <c r="I59" s="65" t="str">
        <f ca="1" t="shared" si="4"/>
        <v/>
      </c>
      <c r="J59" s="65" t="str">
        <f ca="1" t="shared" si="8"/>
        <v/>
      </c>
      <c r="M59" s="126" t="str">
        <f ca="1" t="shared" si="6"/>
        <v/>
      </c>
      <c r="N59" s="126" t="str">
        <f ca="1" t="shared" si="0"/>
        <v/>
      </c>
      <c r="O59" s="103" t="str">
        <f ca="1" t="shared" si="7"/>
        <v/>
      </c>
      <c r="P59" s="103" t="str">
        <f ca="1" t="shared" si="1"/>
        <v/>
      </c>
      <c r="Q59" s="97"/>
    </row>
    <row r="60" s="65" customFormat="1" ht="15" spans="1:26">
      <c r="A60" s="132"/>
      <c r="B60" s="132"/>
      <c r="C60" s="132" t="str">
        <f>IFERROR((VLOOKUP(B60,#REF!,2,FALSE)),"")</f>
        <v/>
      </c>
      <c r="D60" s="132"/>
      <c r="E60" s="193"/>
      <c r="F60" s="133">
        <f ca="1" t="shared" si="2"/>
        <v>0</v>
      </c>
      <c r="G60" s="65" t="str">
        <f ca="1" t="shared" si="3"/>
        <v/>
      </c>
      <c r="H60" s="65" t="str">
        <f ca="1">IF(COUNTA($H$5:H59)-1&lt;$E$6,"("&amp;IF($A$6=0,"",INDIRECT("A"&amp;MOD(ROW()-ROW($A$7),$A$6)+ROW($A$7)))&amp;" "&amp;IF($B$6=0,"",INDIRECT("B"&amp;MOD(ROUNDUP((ROW()-ROW($B$7)+1)/$A$6,0)-1,$B$6)+ROW($A$7)))&amp;" "&amp;IF($D$6=0,"",INDIRECT("C"&amp;MOD(ROUNDUP((ROW()-ROW($B$7)+1)/($E$6/$D$6),0)-1,$E$6)+ROW($A$7)))&amp;")","")</f>
        <v/>
      </c>
      <c r="I60" s="65" t="str">
        <f ca="1" t="shared" si="4"/>
        <v/>
      </c>
      <c r="J60" s="65" t="str">
        <f ca="1" t="shared" si="8"/>
        <v/>
      </c>
      <c r="M60" s="126" t="str">
        <f ca="1" t="shared" si="6"/>
        <v/>
      </c>
      <c r="N60" s="126" t="str">
        <f ca="1" t="shared" si="0"/>
        <v/>
      </c>
      <c r="O60" s="103" t="str">
        <f ca="1" t="shared" si="7"/>
        <v/>
      </c>
      <c r="P60" s="103" t="str">
        <f ca="1" t="shared" si="1"/>
        <v/>
      </c>
      <c r="Q60" s="97"/>
    </row>
    <row r="61" s="65" customFormat="1" ht="15" spans="1:26">
      <c r="A61" s="132"/>
      <c r="B61" s="132"/>
      <c r="C61" s="132" t="str">
        <f>IFERROR((VLOOKUP(B61,#REF!,2,FALSE)),"")</f>
        <v/>
      </c>
      <c r="D61" s="132"/>
      <c r="E61" s="193"/>
      <c r="F61" s="133">
        <f ca="1" t="shared" si="2"/>
        <v>0</v>
      </c>
      <c r="G61" s="65" t="str">
        <f ca="1" t="shared" si="3"/>
        <v/>
      </c>
      <c r="H61" s="65" t="str">
        <f ca="1">IF(COUNTA($H$5:H60)-1&lt;$E$6,"("&amp;IF($A$6=0,"",INDIRECT("A"&amp;MOD(ROW()-ROW($A$7),$A$6)+ROW($A$7)))&amp;" "&amp;IF($B$6=0,"",INDIRECT("B"&amp;MOD(ROUNDUP((ROW()-ROW($B$7)+1)/$A$6,0)-1,$B$6)+ROW($A$7)))&amp;" "&amp;IF($D$6=0,"",INDIRECT("C"&amp;MOD(ROUNDUP((ROW()-ROW($B$7)+1)/($E$6/$D$6),0)-1,$E$6)+ROW($A$7)))&amp;")","")</f>
        <v/>
      </c>
      <c r="I61" s="65" t="str">
        <f ca="1" t="shared" si="4"/>
        <v/>
      </c>
      <c r="J61" s="65" t="str">
        <f ca="1" t="shared" si="8"/>
        <v/>
      </c>
      <c r="M61" s="126" t="str">
        <f ca="1" t="shared" si="6"/>
        <v/>
      </c>
      <c r="N61" s="126" t="str">
        <f ca="1" t="shared" si="0"/>
        <v/>
      </c>
      <c r="O61" s="103" t="str">
        <f ca="1" t="shared" si="7"/>
        <v/>
      </c>
      <c r="P61" s="103" t="str">
        <f ca="1" t="shared" si="1"/>
        <v/>
      </c>
      <c r="Q61" s="97"/>
    </row>
    <row r="62" s="65" customFormat="1" ht="15" spans="1:26">
      <c r="A62" s="132"/>
      <c r="B62" s="132"/>
      <c r="C62" s="132" t="str">
        <f>IFERROR((VLOOKUP(B62,#REF!,2,FALSE)),"")</f>
        <v/>
      </c>
      <c r="D62" s="132"/>
      <c r="E62" s="193"/>
      <c r="F62" s="133">
        <f ca="1" t="shared" si="2"/>
        <v>0</v>
      </c>
      <c r="G62" s="65" t="str">
        <f ca="1" t="shared" si="3"/>
        <v/>
      </c>
      <c r="H62" s="65" t="str">
        <f ca="1">IF(COUNTA($H$5:H61)-1&lt;$E$6,"("&amp;IF($A$6=0,"",INDIRECT("A"&amp;MOD(ROW()-ROW($A$7),$A$6)+ROW($A$7)))&amp;" "&amp;IF($B$6=0,"",INDIRECT("B"&amp;MOD(ROUNDUP((ROW()-ROW($B$7)+1)/$A$6,0)-1,$B$6)+ROW($A$7)))&amp;" "&amp;IF($D$6=0,"",INDIRECT("C"&amp;MOD(ROUNDUP((ROW()-ROW($B$7)+1)/($E$6/$D$6),0)-1,$E$6)+ROW($A$7)))&amp;")","")</f>
        <v/>
      </c>
      <c r="I62" s="65" t="str">
        <f ca="1" t="shared" si="4"/>
        <v/>
      </c>
      <c r="J62" s="65" t="str">
        <f ca="1" t="shared" si="8"/>
        <v/>
      </c>
      <c r="M62" s="126" t="str">
        <f ca="1" t="shared" si="6"/>
        <v/>
      </c>
      <c r="N62" s="126" t="str">
        <f ca="1" t="shared" si="0"/>
        <v/>
      </c>
      <c r="O62" s="103" t="str">
        <f ca="1" t="shared" si="7"/>
        <v/>
      </c>
      <c r="P62" s="103" t="str">
        <f ca="1" t="shared" si="1"/>
        <v/>
      </c>
      <c r="Q62" s="97"/>
    </row>
    <row r="63" s="65" customFormat="1" ht="15" spans="1:26">
      <c r="A63" s="132"/>
      <c r="B63" s="132"/>
      <c r="C63" s="132" t="str">
        <f>IFERROR((VLOOKUP(B63,#REF!,2,FALSE)),"")</f>
        <v/>
      </c>
      <c r="D63" s="132"/>
      <c r="E63" s="193"/>
      <c r="F63" s="133">
        <f ca="1" t="shared" si="2"/>
        <v>0</v>
      </c>
      <c r="G63" s="65" t="str">
        <f ca="1" t="shared" si="3"/>
        <v/>
      </c>
      <c r="H63" s="65" t="str">
        <f ca="1">IF(COUNTA($H$5:H62)-1&lt;$E$6,"("&amp;IF($A$6=0,"",INDIRECT("A"&amp;MOD(ROW()-ROW($A$7),$A$6)+ROW($A$7)))&amp;" "&amp;IF($B$6=0,"",INDIRECT("B"&amp;MOD(ROUNDUP((ROW()-ROW($B$7)+1)/$A$6,0)-1,$B$6)+ROW($A$7)))&amp;" "&amp;IF($D$6=0,"",INDIRECT("C"&amp;MOD(ROUNDUP((ROW()-ROW($B$7)+1)/($E$6/$D$6),0)-1,$E$6)+ROW($A$7)))&amp;")","")</f>
        <v/>
      </c>
      <c r="I63" s="65" t="str">
        <f ca="1" t="shared" si="4"/>
        <v/>
      </c>
      <c r="J63" s="65" t="str">
        <f ca="1" t="shared" si="8"/>
        <v/>
      </c>
      <c r="M63" s="126" t="str">
        <f ca="1" t="shared" si="6"/>
        <v/>
      </c>
      <c r="N63" s="126" t="str">
        <f ca="1" t="shared" si="0"/>
        <v/>
      </c>
      <c r="O63" s="103" t="str">
        <f ca="1" t="shared" si="7"/>
        <v/>
      </c>
      <c r="P63" s="103" t="str">
        <f ca="1" t="shared" si="1"/>
        <v/>
      </c>
      <c r="Q63" s="97"/>
    </row>
    <row r="64" s="65" customFormat="1" ht="15" spans="1:26">
      <c r="A64" s="132"/>
      <c r="B64" s="132"/>
      <c r="C64" s="132" t="str">
        <f>IFERROR((VLOOKUP(B64,#REF!,2,FALSE)),"")</f>
        <v/>
      </c>
      <c r="D64" s="132"/>
      <c r="E64" s="193"/>
      <c r="F64" s="133">
        <f ca="1" t="shared" si="2"/>
        <v>0</v>
      </c>
      <c r="G64" s="65" t="str">
        <f ca="1" t="shared" si="3"/>
        <v/>
      </c>
      <c r="H64" s="65" t="str">
        <f ca="1">IF(COUNTA($H$5:H63)-1&lt;$E$6,"("&amp;IF($A$6=0,"",INDIRECT("A"&amp;MOD(ROW()-ROW($A$7),$A$6)+ROW($A$7)))&amp;" "&amp;IF($B$6=0,"",INDIRECT("B"&amp;MOD(ROUNDUP((ROW()-ROW($B$7)+1)/$A$6,0)-1,$B$6)+ROW($A$7)))&amp;" "&amp;IF($D$6=0,"",INDIRECT("C"&amp;MOD(ROUNDUP((ROW()-ROW($B$7)+1)/($E$6/$D$6),0)-1,$E$6)+ROW($A$7)))&amp;")","")</f>
        <v/>
      </c>
      <c r="I64" s="65" t="str">
        <f ca="1" t="shared" si="4"/>
        <v/>
      </c>
      <c r="J64" s="65" t="str">
        <f ca="1" t="shared" si="8"/>
        <v/>
      </c>
      <c r="M64" s="126" t="str">
        <f ca="1" t="shared" si="6"/>
        <v/>
      </c>
      <c r="N64" s="126" t="str">
        <f ca="1" t="shared" si="0"/>
        <v/>
      </c>
      <c r="O64" s="103" t="str">
        <f ca="1" t="shared" si="7"/>
        <v/>
      </c>
      <c r="P64" s="103" t="str">
        <f ca="1" t="shared" si="1"/>
        <v/>
      </c>
      <c r="Q64" s="97"/>
    </row>
    <row r="65" s="65" customFormat="1" ht="15" spans="1:26">
      <c r="A65" s="132"/>
      <c r="B65" s="132"/>
      <c r="C65" s="132" t="str">
        <f>IFERROR((VLOOKUP(B65,#REF!,2,FALSE)),"")</f>
        <v/>
      </c>
      <c r="D65" s="132"/>
      <c r="E65" s="193"/>
      <c r="F65" s="133">
        <f ca="1" t="shared" si="2"/>
        <v>0</v>
      </c>
      <c r="G65" s="65" t="str">
        <f ca="1" t="shared" si="3"/>
        <v/>
      </c>
      <c r="H65" s="65" t="str">
        <f ca="1">IF(COUNTA($H$5:H64)-1&lt;$E$6,"("&amp;IF($A$6=0,"",INDIRECT("A"&amp;MOD(ROW()-ROW($A$7),$A$6)+ROW($A$7)))&amp;" "&amp;IF($B$6=0,"",INDIRECT("B"&amp;MOD(ROUNDUP((ROW()-ROW($B$7)+1)/$A$6,0)-1,$B$6)+ROW($A$7)))&amp;" "&amp;IF($D$6=0,"",INDIRECT("C"&amp;MOD(ROUNDUP((ROW()-ROW($B$7)+1)/($E$6/$D$6),0)-1,$E$6)+ROW($A$7)))&amp;")","")</f>
        <v/>
      </c>
      <c r="I65" s="65" t="str">
        <f ca="1" t="shared" si="4"/>
        <v/>
      </c>
      <c r="J65" s="65" t="str">
        <f ca="1" t="shared" si="8"/>
        <v/>
      </c>
      <c r="M65" s="126" t="str">
        <f ca="1" t="shared" si="6"/>
        <v/>
      </c>
      <c r="N65" s="126" t="str">
        <f ca="1" t="shared" si="0"/>
        <v/>
      </c>
      <c r="O65" s="103" t="str">
        <f ca="1" t="shared" si="7"/>
        <v/>
      </c>
      <c r="P65" s="103" t="str">
        <f ca="1" t="shared" si="1"/>
        <v/>
      </c>
      <c r="Q65" s="97"/>
    </row>
    <row r="66" s="65" customFormat="1" ht="15" spans="1:26">
      <c r="A66" s="132"/>
      <c r="B66" s="132"/>
      <c r="C66" s="132" t="str">
        <f>IFERROR((VLOOKUP(B66,#REF!,2,FALSE)),"")</f>
        <v/>
      </c>
      <c r="D66" s="132"/>
      <c r="E66" s="193"/>
      <c r="F66" s="133">
        <f ca="1" t="shared" si="2"/>
        <v>0</v>
      </c>
      <c r="G66" s="65" t="str">
        <f ca="1" t="shared" si="3"/>
        <v/>
      </c>
      <c r="H66" s="65" t="str">
        <f ca="1">IF(COUNTA($H$5:H65)-1&lt;$E$6,"("&amp;IF($A$6=0,"",INDIRECT("A"&amp;MOD(ROW()-ROW($A$7),$A$6)+ROW($A$7)))&amp;" "&amp;IF($B$6=0,"",INDIRECT("B"&amp;MOD(ROUNDUP((ROW()-ROW($B$7)+1)/$A$6,0)-1,$B$6)+ROW($A$7)))&amp;" "&amp;IF($D$6=0,"",INDIRECT("C"&amp;MOD(ROUNDUP((ROW()-ROW($B$7)+1)/($E$6/$D$6),0)-1,$E$6)+ROW($A$7)))&amp;")","")</f>
        <v/>
      </c>
      <c r="I66" s="65" t="str">
        <f ca="1" t="shared" si="4"/>
        <v/>
      </c>
      <c r="J66" s="65" t="str">
        <f ca="1" t="shared" si="8"/>
        <v/>
      </c>
      <c r="M66" s="126" t="str">
        <f ca="1" t="shared" si="6"/>
        <v/>
      </c>
      <c r="N66" s="126" t="str">
        <f ca="1" t="shared" si="0"/>
        <v/>
      </c>
      <c r="O66" s="103" t="str">
        <f ca="1" t="shared" si="7"/>
        <v/>
      </c>
      <c r="P66" s="103" t="str">
        <f ca="1" t="shared" si="1"/>
        <v/>
      </c>
      <c r="Q66" s="97"/>
    </row>
    <row r="67" s="65" customFormat="1" ht="15" spans="1:26">
      <c r="A67" s="132"/>
      <c r="B67" s="132"/>
      <c r="C67" s="132" t="str">
        <f>IFERROR((VLOOKUP(B67,#REF!,2,FALSE)),"")</f>
        <v/>
      </c>
      <c r="D67" s="132"/>
      <c r="E67" s="193"/>
      <c r="F67" s="133">
        <f ca="1" t="shared" si="2"/>
        <v>0</v>
      </c>
      <c r="G67" s="65" t="str">
        <f ca="1" t="shared" si="3"/>
        <v/>
      </c>
      <c r="H67" s="65" t="str">
        <f ca="1">IF(COUNTA($H$5:H66)-1&lt;$E$6,"("&amp;IF($A$6=0,"",INDIRECT("A"&amp;MOD(ROW()-ROW($A$7),$A$6)+ROW($A$7)))&amp;" "&amp;IF($B$6=0,"",INDIRECT("B"&amp;MOD(ROUNDUP((ROW()-ROW($B$7)+1)/$A$6,0)-1,$B$6)+ROW($A$7)))&amp;" "&amp;IF($D$6=0,"",INDIRECT("C"&amp;MOD(ROUNDUP((ROW()-ROW($B$7)+1)/($E$6/$D$6),0)-1,$E$6)+ROW($A$7)))&amp;")","")</f>
        <v/>
      </c>
      <c r="I67" s="65" t="str">
        <f ca="1" t="shared" si="4"/>
        <v/>
      </c>
      <c r="J67" s="65" t="str">
        <f ca="1" t="shared" si="8"/>
        <v/>
      </c>
      <c r="M67" s="126" t="str">
        <f ca="1" t="shared" si="6"/>
        <v/>
      </c>
      <c r="N67" s="126" t="str">
        <f ca="1" t="shared" si="0"/>
        <v/>
      </c>
      <c r="O67" s="103" t="str">
        <f ca="1" t="shared" si="7"/>
        <v/>
      </c>
      <c r="P67" s="103" t="str">
        <f ca="1" t="shared" si="1"/>
        <v/>
      </c>
      <c r="Q67" s="97"/>
    </row>
    <row r="68" s="65" customFormat="1" ht="15" spans="1:26">
      <c r="A68" s="132"/>
      <c r="B68" s="132"/>
      <c r="C68" s="132" t="str">
        <f>IFERROR((VLOOKUP(B68,#REF!,2,FALSE)),"")</f>
        <v/>
      </c>
      <c r="D68" s="132"/>
      <c r="E68" s="193"/>
      <c r="F68" s="133">
        <f ca="1" t="shared" si="2"/>
        <v>0</v>
      </c>
      <c r="G68" s="65" t="str">
        <f ca="1" t="shared" si="3"/>
        <v/>
      </c>
      <c r="H68" s="65" t="str">
        <f ca="1">IF(COUNTA($H$5:H67)-1&lt;$E$6,"("&amp;IF($A$6=0,"",INDIRECT("A"&amp;MOD(ROW()-ROW($A$7),$A$6)+ROW($A$7)))&amp;" "&amp;IF($B$6=0,"",INDIRECT("B"&amp;MOD(ROUNDUP((ROW()-ROW($B$7)+1)/$A$6,0)-1,$B$6)+ROW($A$7)))&amp;" "&amp;IF($D$6=0,"",INDIRECT("C"&amp;MOD(ROUNDUP((ROW()-ROW($B$7)+1)/($E$6/$D$6),0)-1,$E$6)+ROW($A$7)))&amp;")","")</f>
        <v/>
      </c>
      <c r="I68" s="65" t="str">
        <f ca="1" t="shared" si="4"/>
        <v/>
      </c>
      <c r="J68" s="65" t="str">
        <f ca="1" t="shared" si="8"/>
        <v/>
      </c>
      <c r="M68" s="126" t="str">
        <f ca="1" t="shared" si="6"/>
        <v/>
      </c>
      <c r="N68" s="126" t="str">
        <f ca="1" t="shared" si="0"/>
        <v/>
      </c>
      <c r="O68" s="103" t="str">
        <f ca="1" t="shared" si="7"/>
        <v/>
      </c>
      <c r="P68" s="103" t="str">
        <f ca="1" t="shared" si="1"/>
        <v/>
      </c>
      <c r="Q68" s="97"/>
    </row>
    <row r="69" s="65" customFormat="1" ht="15" spans="1:26">
      <c r="A69" s="132"/>
      <c r="B69" s="132"/>
      <c r="C69" s="132" t="str">
        <f>IFERROR((VLOOKUP(B69,#REF!,2,FALSE)),"")</f>
        <v/>
      </c>
      <c r="D69" s="132"/>
      <c r="E69" s="193"/>
      <c r="F69" s="133">
        <f ca="1" t="shared" si="2"/>
        <v>0</v>
      </c>
      <c r="G69" s="65" t="str">
        <f ca="1" t="shared" si="3"/>
        <v/>
      </c>
      <c r="H69" s="65" t="str">
        <f ca="1">IF(COUNTA($H$5:H68)-1&lt;$E$6,"("&amp;IF($A$6=0,"",INDIRECT("A"&amp;MOD(ROW()-ROW($A$7),$A$6)+ROW($A$7)))&amp;" "&amp;IF($B$6=0,"",INDIRECT("B"&amp;MOD(ROUNDUP((ROW()-ROW($B$7)+1)/$A$6,0)-1,$B$6)+ROW($A$7)))&amp;" "&amp;IF($D$6=0,"",INDIRECT("C"&amp;MOD(ROUNDUP((ROW()-ROW($B$7)+1)/($E$6/$D$6),0)-1,$E$6)+ROW($A$7)))&amp;")","")</f>
        <v/>
      </c>
      <c r="I69" s="65" t="str">
        <f ca="1" t="shared" si="4"/>
        <v/>
      </c>
      <c r="J69" s="65" t="str">
        <f ca="1" t="shared" si="8"/>
        <v/>
      </c>
      <c r="M69" s="126" t="str">
        <f ca="1" t="shared" si="6"/>
        <v/>
      </c>
      <c r="N69" s="126" t="str">
        <f ca="1" t="shared" si="0"/>
        <v/>
      </c>
      <c r="O69" s="103" t="str">
        <f ca="1" t="shared" si="7"/>
        <v/>
      </c>
      <c r="P69" s="103" t="str">
        <f ca="1" t="shared" si="1"/>
        <v/>
      </c>
      <c r="Q69" s="97"/>
    </row>
    <row r="70" s="65" customFormat="1" ht="15" spans="1:26">
      <c r="A70" s="132"/>
      <c r="B70" s="132"/>
      <c r="C70" s="132" t="str">
        <f>IFERROR((VLOOKUP(B70,#REF!,2,FALSE)),"")</f>
        <v/>
      </c>
      <c r="D70" s="132"/>
      <c r="E70" s="193"/>
      <c r="F70" s="133">
        <f ca="1" t="shared" si="2"/>
        <v>0</v>
      </c>
      <c r="G70" s="65" t="str">
        <f ca="1" t="shared" si="3"/>
        <v/>
      </c>
      <c r="H70" s="65" t="str">
        <f ca="1">IF(COUNTA($H$5:H69)-1&lt;$E$6,"("&amp;IF($A$6=0,"",INDIRECT("A"&amp;MOD(ROW()-ROW($A$7),$A$6)+ROW($A$7)))&amp;" "&amp;IF($B$6=0,"",INDIRECT("B"&amp;MOD(ROUNDUP((ROW()-ROW($B$7)+1)/$A$6,0)-1,$B$6)+ROW($A$7)))&amp;" "&amp;IF($D$6=0,"",INDIRECT("C"&amp;MOD(ROUNDUP((ROW()-ROW($B$7)+1)/($E$6/$D$6),0)-1,$E$6)+ROW($A$7)))&amp;")","")</f>
        <v/>
      </c>
      <c r="I70" s="65" t="str">
        <f ca="1" t="shared" si="4"/>
        <v/>
      </c>
      <c r="J70" s="65" t="str">
        <f ca="1" t="shared" si="8"/>
        <v/>
      </c>
      <c r="M70" s="126" t="str">
        <f ca="1" t="shared" si="6"/>
        <v/>
      </c>
      <c r="N70" s="126" t="str">
        <f ca="1" t="shared" ref="N70:N77" si="9">M70</f>
        <v/>
      </c>
      <c r="O70" s="103" t="str">
        <f ca="1" t="shared" si="7"/>
        <v/>
      </c>
      <c r="P70" s="103" t="str">
        <f ca="1" t="shared" ref="P70:P77" si="10">IF(O70="","",IF($P$3="否",O70,O70&amp;"cm"))</f>
        <v/>
      </c>
      <c r="Q70" s="97"/>
    </row>
    <row r="71" s="65" customFormat="1" ht="15" spans="1:26">
      <c r="A71" s="132"/>
      <c r="B71" s="132"/>
      <c r="C71" s="132" t="str">
        <f>IFERROR((VLOOKUP(B71,#REF!,2,FALSE)),"")</f>
        <v/>
      </c>
      <c r="D71" s="132"/>
      <c r="E71" s="193"/>
      <c r="F71" s="133">
        <f ca="1" t="shared" ref="F71:F77" si="11">LENB(H71)</f>
        <v>0</v>
      </c>
      <c r="G71" s="65" t="str">
        <f ca="1" t="shared" ref="G71:G77" si="12">IF(AND(0=$B$6,$A$5&gt;0),IF($H71="","",$G$6&amp;"-"&amp;O71),IF(OR($H71="",$C$6=0),"",$G$6&amp;"-"&amp;VLOOKUP(M71,B:C,2,FALSE)&amp;"-"&amp;O71))</f>
        <v/>
      </c>
      <c r="H71" s="65" t="str">
        <f ca="1">IF(COUNTA($H$5:H70)-1&lt;$E$6,"("&amp;IF($A$6=0,"",INDIRECT("A"&amp;MOD(ROW()-ROW($A$7),$A$6)+ROW($A$7)))&amp;" "&amp;IF($B$6=0,"",INDIRECT("B"&amp;MOD(ROUNDUP((ROW()-ROW($B$7)+1)/$A$6,0)-1,$B$6)+ROW($A$7)))&amp;" "&amp;IF($D$6=0,"",INDIRECT("C"&amp;MOD(ROUNDUP((ROW()-ROW($B$7)+1)/($E$6/$D$6),0)-1,$E$6)+ROW($A$7)))&amp;")","")</f>
        <v/>
      </c>
      <c r="I71" s="65" t="str">
        <f ca="1" t="shared" ref="I71:I77" si="13">IF(H71="","",COUNTIF($H$7:$H$105,H71))</f>
        <v/>
      </c>
      <c r="J71" s="65" t="str">
        <f ca="1" t="shared" si="8"/>
        <v/>
      </c>
      <c r="M71" s="126" t="str">
        <f ca="1" t="shared" ref="M71:M77" si="14">IF(OR($H71="",$B$6=0),"",INDIRECT("B"&amp;MOD(ROUNDUP((ROW()-ROW($B$7)+1)/$A$6,0)-1,$B$6)+ROW($A$7)))</f>
        <v/>
      </c>
      <c r="N71" s="126" t="str">
        <f ca="1" t="shared" si="9"/>
        <v/>
      </c>
      <c r="O71" s="103" t="str">
        <f ca="1" t="shared" ref="O71:O77" si="15">IF(H71="","",IF($A$6=0,"",INDIRECT("A"&amp;MOD(ROW()-ROW($A$7),$A$6)+ROW($A$7))))</f>
        <v/>
      </c>
      <c r="P71" s="103" t="str">
        <f ca="1" t="shared" si="10"/>
        <v/>
      </c>
      <c r="Q71" s="97"/>
    </row>
    <row r="72" s="65" customFormat="1" ht="15" spans="1:26">
      <c r="A72" s="132"/>
      <c r="B72" s="132"/>
      <c r="C72" s="132" t="str">
        <f>IFERROR((VLOOKUP(B72,#REF!,2,FALSE)),"")</f>
        <v/>
      </c>
      <c r="D72" s="132"/>
      <c r="E72" s="193"/>
      <c r="F72" s="133">
        <f ca="1" t="shared" si="11"/>
        <v>0</v>
      </c>
      <c r="G72" s="65" t="str">
        <f ca="1" t="shared" si="12"/>
        <v/>
      </c>
      <c r="H72" s="65" t="str">
        <f ca="1">IF(COUNTA($H$5:H71)-1&lt;$E$6,"("&amp;IF($A$6=0,"",INDIRECT("A"&amp;MOD(ROW()-ROW($A$7),$A$6)+ROW($A$7)))&amp;" "&amp;IF($B$6=0,"",INDIRECT("B"&amp;MOD(ROUNDUP((ROW()-ROW($B$7)+1)/$A$6,0)-1,$B$6)+ROW($A$7)))&amp;" "&amp;IF($D$6=0,"",INDIRECT("C"&amp;MOD(ROUNDUP((ROW()-ROW($B$7)+1)/($E$6/$D$6),0)-1,$E$6)+ROW($A$7)))&amp;")","")</f>
        <v/>
      </c>
      <c r="I72" s="65" t="str">
        <f ca="1" t="shared" si="13"/>
        <v/>
      </c>
      <c r="J72" s="65" t="str">
        <f ca="1" t="shared" si="8"/>
        <v/>
      </c>
      <c r="M72" s="126" t="str">
        <f ca="1" t="shared" si="14"/>
        <v/>
      </c>
      <c r="N72" s="126" t="str">
        <f ca="1" t="shared" si="9"/>
        <v/>
      </c>
      <c r="O72" s="103" t="str">
        <f ca="1" t="shared" si="15"/>
        <v/>
      </c>
      <c r="P72" s="103" t="str">
        <f ca="1" t="shared" si="10"/>
        <v/>
      </c>
      <c r="Q72" s="97"/>
    </row>
    <row r="73" s="65" customFormat="1" ht="15" spans="1:26">
      <c r="A73" s="132"/>
      <c r="B73" s="132"/>
      <c r="C73" s="132" t="str">
        <f>IFERROR((VLOOKUP(B73,#REF!,2,FALSE)),"")</f>
        <v/>
      </c>
      <c r="D73" s="132"/>
      <c r="E73" s="193"/>
      <c r="F73" s="133">
        <f ca="1" t="shared" si="11"/>
        <v>0</v>
      </c>
      <c r="G73" s="65" t="str">
        <f ca="1" t="shared" si="12"/>
        <v/>
      </c>
      <c r="H73" s="65" t="str">
        <f ca="1">IF(COUNTA($H$5:H72)-1&lt;$E$6,"("&amp;IF($A$6=0,"",INDIRECT("A"&amp;MOD(ROW()-ROW($A$7),$A$6)+ROW($A$7)))&amp;" "&amp;IF($B$6=0,"",INDIRECT("B"&amp;MOD(ROUNDUP((ROW()-ROW($B$7)+1)/$A$6,0)-1,$B$6)+ROW($A$7)))&amp;" "&amp;IF($D$6=0,"",INDIRECT("C"&amp;MOD(ROUNDUP((ROW()-ROW($B$7)+1)/($E$6/$D$6),0)-1,$E$6)+ROW($A$7)))&amp;")","")</f>
        <v/>
      </c>
      <c r="I73" s="65" t="str">
        <f ca="1" t="shared" si="13"/>
        <v/>
      </c>
      <c r="J73" s="65" t="str">
        <f ca="1" t="shared" si="8"/>
        <v/>
      </c>
      <c r="M73" s="126" t="str">
        <f ca="1" t="shared" si="14"/>
        <v/>
      </c>
      <c r="N73" s="126" t="str">
        <f ca="1" t="shared" si="9"/>
        <v/>
      </c>
      <c r="O73" s="103" t="str">
        <f ca="1" t="shared" si="15"/>
        <v/>
      </c>
      <c r="P73" s="103" t="str">
        <f ca="1" t="shared" si="10"/>
        <v/>
      </c>
      <c r="Q73" s="97"/>
    </row>
    <row r="74" s="65" customFormat="1" ht="15" spans="1:26">
      <c r="A74" s="132"/>
      <c r="B74" s="132"/>
      <c r="C74" s="132" t="str">
        <f>IFERROR((VLOOKUP(B74,#REF!,2,FALSE)),"")</f>
        <v/>
      </c>
      <c r="D74" s="132"/>
      <c r="E74" s="193"/>
      <c r="F74" s="133">
        <f ca="1" t="shared" si="11"/>
        <v>0</v>
      </c>
      <c r="G74" s="65" t="str">
        <f ca="1" t="shared" si="12"/>
        <v/>
      </c>
      <c r="H74" s="65" t="str">
        <f ca="1">IF(COUNTA($H$5:H73)-1&lt;$E$6,"("&amp;IF($A$6=0,"",INDIRECT("A"&amp;MOD(ROW()-ROW($A$7),$A$6)+ROW($A$7)))&amp;" "&amp;IF($B$6=0,"",INDIRECT("B"&amp;MOD(ROUNDUP((ROW()-ROW($B$7)+1)/$A$6,0)-1,$B$6)+ROW($A$7)))&amp;" "&amp;IF($D$6=0,"",INDIRECT("C"&amp;MOD(ROUNDUP((ROW()-ROW($B$7)+1)/($E$6/$D$6),0)-1,$E$6)+ROW($A$7)))&amp;")","")</f>
        <v/>
      </c>
      <c r="I74" s="65" t="str">
        <f ca="1" t="shared" si="13"/>
        <v/>
      </c>
      <c r="J74" s="65" t="str">
        <f ca="1" t="shared" si="8"/>
        <v/>
      </c>
      <c r="M74" s="126" t="str">
        <f ca="1" t="shared" si="14"/>
        <v/>
      </c>
      <c r="N74" s="126" t="str">
        <f ca="1" t="shared" si="9"/>
        <v/>
      </c>
      <c r="O74" s="103" t="str">
        <f ca="1" t="shared" si="15"/>
        <v/>
      </c>
      <c r="P74" s="103" t="str">
        <f ca="1" t="shared" si="10"/>
        <v/>
      </c>
      <c r="Q74" s="97"/>
    </row>
    <row r="75" s="65" customFormat="1" ht="15" spans="1:26">
      <c r="A75" s="132"/>
      <c r="B75" s="132"/>
      <c r="C75" s="132" t="str">
        <f>IFERROR((VLOOKUP(B75,#REF!,2,FALSE)),"")</f>
        <v/>
      </c>
      <c r="D75" s="132"/>
      <c r="E75" s="193"/>
      <c r="F75" s="133">
        <f ca="1" t="shared" si="11"/>
        <v>0</v>
      </c>
      <c r="G75" s="65" t="str">
        <f ca="1" t="shared" si="12"/>
        <v/>
      </c>
      <c r="H75" s="65" t="str">
        <f ca="1">IF(COUNTA($H$5:H74)-1&lt;$E$6,"("&amp;IF($A$6=0,"",INDIRECT("A"&amp;MOD(ROW()-ROW($A$7),$A$6)+ROW($A$7)))&amp;" "&amp;IF($B$6=0,"",INDIRECT("B"&amp;MOD(ROUNDUP((ROW()-ROW($B$7)+1)/$A$6,0)-1,$B$6)+ROW($A$7)))&amp;" "&amp;IF($D$6=0,"",INDIRECT("C"&amp;MOD(ROUNDUP((ROW()-ROW($B$7)+1)/($E$6/$D$6),0)-1,$E$6)+ROW($A$7)))&amp;")","")</f>
        <v/>
      </c>
      <c r="I75" s="65" t="str">
        <f ca="1" t="shared" si="13"/>
        <v/>
      </c>
      <c r="J75" s="65" t="str">
        <f ca="1" t="shared" si="8"/>
        <v/>
      </c>
      <c r="M75" s="126" t="str">
        <f ca="1" t="shared" si="14"/>
        <v/>
      </c>
      <c r="N75" s="126" t="str">
        <f ca="1" t="shared" si="9"/>
        <v/>
      </c>
      <c r="O75" s="103" t="str">
        <f ca="1" t="shared" si="15"/>
        <v/>
      </c>
      <c r="P75" s="103" t="str">
        <f ca="1" t="shared" si="10"/>
        <v/>
      </c>
      <c r="Q75" s="97"/>
    </row>
    <row r="76" s="65" customFormat="1" ht="15" spans="1:26">
      <c r="A76" s="132"/>
      <c r="B76" s="132"/>
      <c r="C76" s="132" t="str">
        <f>IFERROR((VLOOKUP(B76,#REF!,2,FALSE)),"")</f>
        <v/>
      </c>
      <c r="D76" s="132"/>
      <c r="E76" s="193"/>
      <c r="F76" s="133">
        <f ca="1" t="shared" si="11"/>
        <v>0</v>
      </c>
      <c r="G76" s="65" t="str">
        <f ca="1" t="shared" si="12"/>
        <v/>
      </c>
      <c r="H76" s="65" t="str">
        <f ca="1">IF(COUNTA($H$5:H75)-1&lt;$E$6,"("&amp;IF($A$6=0,"",INDIRECT("A"&amp;MOD(ROW()-ROW($A$7),$A$6)+ROW($A$7)))&amp;" "&amp;IF($B$6=0,"",INDIRECT("B"&amp;MOD(ROUNDUP((ROW()-ROW($B$7)+1)/$A$6,0)-1,$B$6)+ROW($A$7)))&amp;" "&amp;IF($D$6=0,"",INDIRECT("C"&amp;MOD(ROUNDUP((ROW()-ROW($B$7)+1)/($E$6/$D$6),0)-1,$E$6)+ROW($A$7)))&amp;")","")</f>
        <v/>
      </c>
      <c r="I76" s="65" t="str">
        <f ca="1" t="shared" si="13"/>
        <v/>
      </c>
      <c r="J76" s="65" t="str">
        <f ca="1" t="shared" si="8"/>
        <v/>
      </c>
      <c r="M76" s="126" t="str">
        <f ca="1" t="shared" si="14"/>
        <v/>
      </c>
      <c r="N76" s="126" t="str">
        <f ca="1" t="shared" si="9"/>
        <v/>
      </c>
      <c r="O76" s="103" t="str">
        <f ca="1" t="shared" si="15"/>
        <v/>
      </c>
      <c r="P76" s="103" t="str">
        <f ca="1" t="shared" si="10"/>
        <v/>
      </c>
      <c r="Q76" s="97"/>
    </row>
    <row r="77" s="65" customFormat="1" ht="15" spans="1:26">
      <c r="A77" s="132"/>
      <c r="B77" s="132"/>
      <c r="C77" s="132" t="str">
        <f>IFERROR((VLOOKUP(B77,#REF!,2,FALSE)),"")</f>
        <v/>
      </c>
      <c r="D77" s="132"/>
      <c r="E77" s="193"/>
      <c r="F77" s="133">
        <f ca="1" t="shared" si="11"/>
        <v>0</v>
      </c>
      <c r="G77" s="65" t="str">
        <f ca="1" t="shared" si="12"/>
        <v/>
      </c>
      <c r="H77" s="65" t="str">
        <f ca="1">IF(COUNTA($H$5:H76)-1&lt;$E$6,"("&amp;IF($A$6=0,"",INDIRECT("A"&amp;MOD(ROW()-ROW($A$7),$A$6)+ROW($A$7)))&amp;" "&amp;IF($B$6=0,"",INDIRECT("B"&amp;MOD(ROUNDUP((ROW()-ROW($B$7)+1)/$A$6,0)-1,$B$6)+ROW($A$7)))&amp;" "&amp;IF($D$6=0,"",INDIRECT("C"&amp;MOD(ROUNDUP((ROW()-ROW($B$7)+1)/($E$6/$D$6),0)-1,$E$6)+ROW($A$7)))&amp;")","")</f>
        <v/>
      </c>
      <c r="I77" s="65" t="str">
        <f ca="1" t="shared" si="13"/>
        <v/>
      </c>
      <c r="J77" s="65" t="str">
        <f ca="1" t="shared" si="8"/>
        <v/>
      </c>
      <c r="M77" s="126" t="str">
        <f ca="1" t="shared" si="14"/>
        <v/>
      </c>
      <c r="N77" s="126" t="str">
        <f ca="1" t="shared" si="9"/>
        <v/>
      </c>
      <c r="O77" s="103" t="str">
        <f ca="1" t="shared" si="15"/>
        <v/>
      </c>
      <c r="P77" s="103" t="str">
        <f ca="1" t="shared" si="10"/>
        <v/>
      </c>
      <c r="Q77" s="97"/>
      <c r="R77"/>
      <c r="S77"/>
      <c r="T77"/>
      <c r="U77"/>
      <c r="V77"/>
      <c r="W77"/>
      <c r="X77"/>
      <c r="Y77"/>
      <c r="Z77"/>
    </row>
    <row r="78" ht="15" spans="1:26">
      <c r="G78" s="65" t="str">
        <f ca="1" t="shared" ref="G78:G109" si="16">IF(AND(0=$B$6,$A$5&gt;0),IF($H78="","",$G$6&amp;"-"&amp;O78),IF(OR($H78="",$C$6=0),"",$G$6&amp;"-"&amp;VLOOKUP(M78,B:C,2,FALSE)&amp;"-"&amp;O78))</f>
        <v/>
      </c>
      <c r="H78" s="65" t="str">
        <f ca="1">IF(COUNTA($H$5:H77)-1&lt;$E$6,"("&amp;IF($A$6=0,"",INDIRECT("A"&amp;MOD(ROW()-ROW($A$7),$A$6)+ROW($A$7)))&amp;" "&amp;IF($B$6=0,"",INDIRECT("B"&amp;MOD(ROUNDUP((ROW()-ROW($B$7)+1)/$A$6,0)-1,$B$6)+ROW($A$7)))&amp;" "&amp;IF($D$6=0,"",INDIRECT("C"&amp;MOD(ROUNDUP((ROW()-ROW($B$7)+1)/($E$6/$D$6),0)-1,$E$6)+ROW($A$7)))&amp;")","")</f>
        <v/>
      </c>
      <c r="I78" s="65" t="str">
        <f ca="1" t="shared" ref="I78:I109" si="17">IF(H78="","",COUNTIF($H$7:$H$105,H78))</f>
        <v/>
      </c>
      <c r="J78" s="65" t="str">
        <f ca="1" t="shared" ref="J78:J109" si="18">IF(OR(H78="",$G$1=""),"",$B$3&amp;$G$1&amp;H78)</f>
        <v/>
      </c>
      <c r="K78" s="65"/>
      <c r="L78" s="65"/>
      <c r="M78" s="126" t="str">
        <f ca="1" t="shared" ref="M78:M109" si="19">IF(OR($H78="",$B$6=0),"",INDIRECT("B"&amp;MOD(ROUNDUP((ROW()-ROW($B$7)+1)/$A$6,0)-1,$B$6)+ROW($A$7)))</f>
        <v/>
      </c>
      <c r="N78" s="126" t="str">
        <f ca="1" t="shared" ref="N78:N109" si="20">M78</f>
        <v/>
      </c>
      <c r="O78" s="103" t="str">
        <f ca="1" t="shared" ref="O78:O109" si="21">IF(H78="","",IF($A$6=0,"",INDIRECT("A"&amp;MOD(ROW()-ROW($A$7),$A$6)+ROW($A$7))))</f>
        <v/>
      </c>
      <c r="P78" s="103" t="str">
        <f ca="1" t="shared" ref="P78:P109" si="22">IF(O78="","",IF($P$3="否",O78,O78&amp;"cm"))</f>
        <v/>
      </c>
    </row>
    <row r="79" ht="15" spans="1:26">
      <c r="G79" s="65" t="str">
        <f ca="1" t="shared" si="16"/>
        <v/>
      </c>
      <c r="H79" s="65" t="str">
        <f ca="1">IF(COUNTA($H$5:H78)-1&lt;$E$6,"("&amp;IF($A$6=0,"",INDIRECT("A"&amp;MOD(ROW()-ROW($A$7),$A$6)+ROW($A$7)))&amp;" "&amp;IF($B$6=0,"",INDIRECT("B"&amp;MOD(ROUNDUP((ROW()-ROW($B$7)+1)/$A$6,0)-1,$B$6)+ROW($A$7)))&amp;" "&amp;IF($D$6=0,"",INDIRECT("C"&amp;MOD(ROUNDUP((ROW()-ROW($B$7)+1)/($E$6/$D$6),0)-1,$E$6)+ROW($A$7)))&amp;")","")</f>
        <v/>
      </c>
      <c r="I79" s="65" t="str">
        <f ca="1" t="shared" si="17"/>
        <v/>
      </c>
      <c r="J79" s="65" t="str">
        <f ca="1" t="shared" si="18"/>
        <v/>
      </c>
      <c r="K79" s="65"/>
      <c r="L79" s="65"/>
      <c r="M79" s="126" t="str">
        <f ca="1" t="shared" si="19"/>
        <v/>
      </c>
      <c r="N79" s="126" t="str">
        <f ca="1" t="shared" si="20"/>
        <v/>
      </c>
      <c r="O79" s="103" t="str">
        <f ca="1" t="shared" si="21"/>
        <v/>
      </c>
      <c r="P79" s="103" t="str">
        <f ca="1" t="shared" si="22"/>
        <v/>
      </c>
      <c r="R79" t="s">
        <v>105</v>
      </c>
      <c r="S79" t="s">
        <v>105</v>
      </c>
    </row>
    <row r="80" ht="15" spans="1:26">
      <c r="G80" s="65" t="str">
        <f ca="1" t="shared" si="16"/>
        <v/>
      </c>
      <c r="H80" s="65" t="str">
        <f ca="1">IF(COUNTA($H$5:H79)-1&lt;$E$6,"("&amp;IF($A$6=0,"",INDIRECT("A"&amp;MOD(ROW()-ROW($A$7),$A$6)+ROW($A$7)))&amp;" "&amp;IF($B$6=0,"",INDIRECT("B"&amp;MOD(ROUNDUP((ROW()-ROW($B$7)+1)/$A$6,0)-1,$B$6)+ROW($A$7)))&amp;" "&amp;IF($D$6=0,"",INDIRECT("C"&amp;MOD(ROUNDUP((ROW()-ROW($B$7)+1)/($E$6/$D$6),0)-1,$E$6)+ROW($A$7)))&amp;")","")</f>
        <v/>
      </c>
      <c r="I80" s="65" t="str">
        <f ca="1" t="shared" si="17"/>
        <v/>
      </c>
      <c r="J80" s="65" t="str">
        <f ca="1" t="shared" si="18"/>
        <v/>
      </c>
      <c r="K80" s="65"/>
      <c r="L80" s="65"/>
      <c r="M80" s="126" t="str">
        <f ca="1" t="shared" si="19"/>
        <v/>
      </c>
      <c r="N80" s="126" t="str">
        <f ca="1" t="shared" si="20"/>
        <v/>
      </c>
      <c r="O80" s="103" t="str">
        <f ca="1" t="shared" si="21"/>
        <v/>
      </c>
      <c r="P80" s="103" t="str">
        <f ca="1" t="shared" si="22"/>
        <v/>
      </c>
      <c r="R80" t="s">
        <v>106</v>
      </c>
      <c r="S80" t="s">
        <v>106</v>
      </c>
    </row>
    <row r="81" ht="15" spans="7:19">
      <c r="G81" s="65" t="str">
        <f ca="1" t="shared" si="16"/>
        <v/>
      </c>
      <c r="H81" s="65" t="str">
        <f ca="1">IF(COUNTA($H$5:H80)-1&lt;$E$6,"("&amp;IF($A$6=0,"",INDIRECT("A"&amp;MOD(ROW()-ROW($A$7),$A$6)+ROW($A$7)))&amp;" "&amp;IF($B$6=0,"",INDIRECT("B"&amp;MOD(ROUNDUP((ROW()-ROW($B$7)+1)/$A$6,0)-1,$B$6)+ROW($A$7)))&amp;" "&amp;IF($D$6=0,"",INDIRECT("C"&amp;MOD(ROUNDUP((ROW()-ROW($B$7)+1)/($E$6/$D$6),0)-1,$E$6)+ROW($A$7)))&amp;")","")</f>
        <v/>
      </c>
      <c r="I81" s="65" t="str">
        <f ca="1" t="shared" si="17"/>
        <v/>
      </c>
      <c r="J81" s="65" t="str">
        <f ca="1" t="shared" si="18"/>
        <v/>
      </c>
      <c r="K81" s="65"/>
      <c r="L81" s="65"/>
      <c r="M81" s="126" t="str">
        <f ca="1" t="shared" si="19"/>
        <v/>
      </c>
      <c r="N81" s="126" t="str">
        <f ca="1" t="shared" si="20"/>
        <v/>
      </c>
      <c r="O81" s="103" t="str">
        <f ca="1" t="shared" si="21"/>
        <v/>
      </c>
      <c r="P81" s="103" t="str">
        <f ca="1" t="shared" si="22"/>
        <v/>
      </c>
      <c r="R81" t="s">
        <v>107</v>
      </c>
      <c r="S81" t="s">
        <v>107</v>
      </c>
    </row>
    <row r="82" ht="15" spans="7:19">
      <c r="G82" s="65" t="str">
        <f ca="1" t="shared" si="16"/>
        <v/>
      </c>
      <c r="H82" s="65" t="str">
        <f ca="1">IF(COUNTA($H$5:H81)-1&lt;$E$6,"("&amp;IF($A$6=0,"",INDIRECT("A"&amp;MOD(ROW()-ROW($A$7),$A$6)+ROW($A$7)))&amp;" "&amp;IF($B$6=0,"",INDIRECT("B"&amp;MOD(ROUNDUP((ROW()-ROW($B$7)+1)/$A$6,0)-1,$B$6)+ROW($A$7)))&amp;" "&amp;IF($D$6=0,"",INDIRECT("C"&amp;MOD(ROUNDUP((ROW()-ROW($B$7)+1)/($E$6/$D$6),0)-1,$E$6)+ROW($A$7)))&amp;")","")</f>
        <v/>
      </c>
      <c r="I82" s="65" t="str">
        <f ca="1" t="shared" si="17"/>
        <v/>
      </c>
      <c r="J82" s="65" t="str">
        <f ca="1" t="shared" si="18"/>
        <v/>
      </c>
      <c r="K82" s="65"/>
      <c r="L82" s="65"/>
      <c r="M82" s="126" t="str">
        <f ca="1" t="shared" si="19"/>
        <v/>
      </c>
      <c r="N82" s="126" t="str">
        <f ca="1" t="shared" si="20"/>
        <v/>
      </c>
      <c r="O82" s="103" t="str">
        <f ca="1" t="shared" si="21"/>
        <v/>
      </c>
      <c r="P82" s="103" t="str">
        <f ca="1" t="shared" si="22"/>
        <v/>
      </c>
      <c r="R82" t="s">
        <v>108</v>
      </c>
      <c r="S82" t="s">
        <v>108</v>
      </c>
    </row>
    <row r="83" ht="15" spans="7:19">
      <c r="G83" s="65" t="str">
        <f ca="1" t="shared" si="16"/>
        <v/>
      </c>
      <c r="H83" s="65" t="str">
        <f ca="1">IF(COUNTA($H$5:H82)-1&lt;$E$6,"("&amp;IF($A$6=0,"",INDIRECT("A"&amp;MOD(ROW()-ROW($A$7),$A$6)+ROW($A$7)))&amp;" "&amp;IF($B$6=0,"",INDIRECT("B"&amp;MOD(ROUNDUP((ROW()-ROW($B$7)+1)/$A$6,0)-1,$B$6)+ROW($A$7)))&amp;" "&amp;IF($D$6=0,"",INDIRECT("C"&amp;MOD(ROUNDUP((ROW()-ROW($B$7)+1)/($E$6/$D$6),0)-1,$E$6)+ROW($A$7)))&amp;")","")</f>
        <v/>
      </c>
      <c r="I83" s="65" t="str">
        <f ca="1" t="shared" si="17"/>
        <v/>
      </c>
      <c r="J83" s="65" t="str">
        <f ca="1" t="shared" si="18"/>
        <v/>
      </c>
      <c r="K83" s="65"/>
      <c r="L83" s="65"/>
      <c r="M83" s="126" t="str">
        <f ca="1" t="shared" si="19"/>
        <v/>
      </c>
      <c r="N83" s="126" t="str">
        <f ca="1" t="shared" si="20"/>
        <v/>
      </c>
      <c r="O83" s="103" t="str">
        <f ca="1" t="shared" si="21"/>
        <v/>
      </c>
      <c r="P83" s="103" t="str">
        <f ca="1" t="shared" si="22"/>
        <v/>
      </c>
      <c r="R83" t="s">
        <v>109</v>
      </c>
      <c r="S83" t="s">
        <v>109</v>
      </c>
    </row>
    <row r="84" ht="15" spans="7:19">
      <c r="G84" s="65" t="str">
        <f ca="1" t="shared" si="16"/>
        <v/>
      </c>
      <c r="H84" s="65" t="str">
        <f ca="1">IF(COUNTA($H$5:H83)-1&lt;$E$6,"("&amp;IF($A$6=0,"",INDIRECT("A"&amp;MOD(ROW()-ROW($A$7),$A$6)+ROW($A$7)))&amp;" "&amp;IF($B$6=0,"",INDIRECT("B"&amp;MOD(ROUNDUP((ROW()-ROW($B$7)+1)/$A$6,0)-1,$B$6)+ROW($A$7)))&amp;" "&amp;IF($D$6=0,"",INDIRECT("C"&amp;MOD(ROUNDUP((ROW()-ROW($B$7)+1)/($E$6/$D$6),0)-1,$E$6)+ROW($A$7)))&amp;")","")</f>
        <v/>
      </c>
      <c r="I84" s="65" t="str">
        <f ca="1" t="shared" si="17"/>
        <v/>
      </c>
      <c r="J84" s="65" t="str">
        <f ca="1" t="shared" si="18"/>
        <v/>
      </c>
      <c r="K84" s="65"/>
      <c r="L84" s="65"/>
      <c r="M84" s="126" t="str">
        <f ca="1" t="shared" si="19"/>
        <v/>
      </c>
      <c r="N84" s="126" t="str">
        <f ca="1" t="shared" si="20"/>
        <v/>
      </c>
      <c r="O84" s="103" t="str">
        <f ca="1" t="shared" si="21"/>
        <v/>
      </c>
      <c r="P84" s="103" t="str">
        <f ca="1" t="shared" si="22"/>
        <v/>
      </c>
    </row>
    <row r="85" ht="15" spans="7:19">
      <c r="G85" s="65" t="str">
        <f ca="1" t="shared" si="16"/>
        <v/>
      </c>
      <c r="H85" s="65" t="str">
        <f ca="1">IF(COUNTA($H$5:H84)-1&lt;$E$6,"("&amp;IF($A$6=0,"",INDIRECT("A"&amp;MOD(ROW()-ROW($A$7),$A$6)+ROW($A$7)))&amp;" "&amp;IF($B$6=0,"",INDIRECT("B"&amp;MOD(ROUNDUP((ROW()-ROW($B$7)+1)/$A$6,0)-1,$B$6)+ROW($A$7)))&amp;" "&amp;IF($D$6=0,"",INDIRECT("C"&amp;MOD(ROUNDUP((ROW()-ROW($B$7)+1)/($E$6/$D$6),0)-1,$E$6)+ROW($A$7)))&amp;")","")</f>
        <v/>
      </c>
      <c r="I85" s="65" t="str">
        <f ca="1" t="shared" si="17"/>
        <v/>
      </c>
      <c r="J85" s="65" t="str">
        <f ca="1" t="shared" si="18"/>
        <v/>
      </c>
      <c r="K85" s="65"/>
      <c r="L85" s="65"/>
      <c r="M85" s="126" t="str">
        <f ca="1" t="shared" si="19"/>
        <v/>
      </c>
      <c r="N85" s="126" t="str">
        <f ca="1" t="shared" si="20"/>
        <v/>
      </c>
      <c r="O85" s="103" t="str">
        <f ca="1" t="shared" si="21"/>
        <v/>
      </c>
      <c r="P85" s="103" t="str">
        <f ca="1" t="shared" si="22"/>
        <v/>
      </c>
    </row>
    <row r="86" ht="15" spans="7:19">
      <c r="G86" s="65" t="str">
        <f ca="1" t="shared" si="16"/>
        <v/>
      </c>
      <c r="H86" s="65" t="str">
        <f ca="1">IF(COUNTA($H$5:H85)-1&lt;$E$6,"("&amp;IF($A$6=0,"",INDIRECT("A"&amp;MOD(ROW()-ROW($A$7),$A$6)+ROW($A$7)))&amp;" "&amp;IF($B$6=0,"",INDIRECT("B"&amp;MOD(ROUNDUP((ROW()-ROW($B$7)+1)/$A$6,0)-1,$B$6)+ROW($A$7)))&amp;" "&amp;IF($D$6=0,"",INDIRECT("C"&amp;MOD(ROUNDUP((ROW()-ROW($B$7)+1)/($E$6/$D$6),0)-1,$E$6)+ROW($A$7)))&amp;")","")</f>
        <v/>
      </c>
      <c r="I86" s="65" t="str">
        <f ca="1" t="shared" si="17"/>
        <v/>
      </c>
      <c r="J86" s="65" t="str">
        <f ca="1" t="shared" si="18"/>
        <v/>
      </c>
      <c r="K86" s="65"/>
      <c r="L86" s="65"/>
      <c r="M86" s="126" t="str">
        <f ca="1" t="shared" si="19"/>
        <v/>
      </c>
      <c r="N86" s="126" t="str">
        <f ca="1" t="shared" si="20"/>
        <v/>
      </c>
      <c r="O86" s="103" t="str">
        <f ca="1" t="shared" si="21"/>
        <v/>
      </c>
      <c r="P86" s="103" t="str">
        <f ca="1" t="shared" si="22"/>
        <v/>
      </c>
    </row>
    <row r="87" ht="15" spans="7:19">
      <c r="G87" s="65" t="str">
        <f ca="1" t="shared" si="16"/>
        <v/>
      </c>
      <c r="H87" s="65" t="str">
        <f ca="1">IF(COUNTA($H$5:H86)-1&lt;$E$6,"("&amp;IF($A$6=0,"",INDIRECT("A"&amp;MOD(ROW()-ROW($A$7),$A$6)+ROW($A$7)))&amp;" "&amp;IF($B$6=0,"",INDIRECT("B"&amp;MOD(ROUNDUP((ROW()-ROW($B$7)+1)/$A$6,0)-1,$B$6)+ROW($A$7)))&amp;" "&amp;IF($D$6=0,"",INDIRECT("C"&amp;MOD(ROUNDUP((ROW()-ROW($B$7)+1)/($E$6/$D$6),0)-1,$E$6)+ROW($A$7)))&amp;")","")</f>
        <v/>
      </c>
      <c r="I87" s="65" t="str">
        <f ca="1" t="shared" si="17"/>
        <v/>
      </c>
      <c r="J87" s="65" t="str">
        <f ca="1" t="shared" si="18"/>
        <v/>
      </c>
      <c r="K87" s="65"/>
      <c r="L87" s="65"/>
      <c r="M87" s="126" t="str">
        <f ca="1" t="shared" si="19"/>
        <v/>
      </c>
      <c r="N87" s="126" t="str">
        <f ca="1" t="shared" si="20"/>
        <v/>
      </c>
      <c r="O87" s="103" t="str">
        <f ca="1" t="shared" si="21"/>
        <v/>
      </c>
      <c r="P87" s="103" t="str">
        <f ca="1" t="shared" si="22"/>
        <v/>
      </c>
    </row>
    <row r="88" ht="15" spans="7:19">
      <c r="G88" s="65" t="str">
        <f ca="1" t="shared" si="16"/>
        <v/>
      </c>
      <c r="H88" s="65" t="str">
        <f ca="1">IF(COUNTA($H$5:H87)-1&lt;$E$6,"("&amp;IF($A$6=0,"",INDIRECT("A"&amp;MOD(ROW()-ROW($A$7),$A$6)+ROW($A$7)))&amp;" "&amp;IF($B$6=0,"",INDIRECT("B"&amp;MOD(ROUNDUP((ROW()-ROW($B$7)+1)/$A$6,0)-1,$B$6)+ROW($A$7)))&amp;" "&amp;IF($D$6=0,"",INDIRECT("C"&amp;MOD(ROUNDUP((ROW()-ROW($B$7)+1)/($E$6/$D$6),0)-1,$E$6)+ROW($A$7)))&amp;")","")</f>
        <v/>
      </c>
      <c r="I88" s="65" t="str">
        <f ca="1" t="shared" si="17"/>
        <v/>
      </c>
      <c r="J88" s="65" t="str">
        <f ca="1" t="shared" si="18"/>
        <v/>
      </c>
      <c r="K88" s="65"/>
      <c r="L88" s="65"/>
      <c r="M88" s="126" t="str">
        <f ca="1" t="shared" si="19"/>
        <v/>
      </c>
      <c r="N88" s="126" t="str">
        <f ca="1" t="shared" si="20"/>
        <v/>
      </c>
      <c r="O88" s="103" t="str">
        <f ca="1" t="shared" si="21"/>
        <v/>
      </c>
      <c r="P88" s="103" t="str">
        <f ca="1" t="shared" si="22"/>
        <v/>
      </c>
    </row>
    <row r="89" ht="15" spans="7:19">
      <c r="G89" s="65" t="str">
        <f ca="1" t="shared" si="16"/>
        <v/>
      </c>
      <c r="H89" s="65" t="str">
        <f ca="1">IF(COUNTA($H$5:H88)-1&lt;$E$6,"("&amp;IF($A$6=0,"",INDIRECT("A"&amp;MOD(ROW()-ROW($A$7),$A$6)+ROW($A$7)))&amp;" "&amp;IF($B$6=0,"",INDIRECT("B"&amp;MOD(ROUNDUP((ROW()-ROW($B$7)+1)/$A$6,0)-1,$B$6)+ROW($A$7)))&amp;" "&amp;IF($D$6=0,"",INDIRECT("C"&amp;MOD(ROUNDUP((ROW()-ROW($B$7)+1)/($E$6/$D$6),0)-1,$E$6)+ROW($A$7)))&amp;")","")</f>
        <v/>
      </c>
      <c r="I89" s="65" t="str">
        <f ca="1" t="shared" si="17"/>
        <v/>
      </c>
      <c r="J89" s="65" t="str">
        <f ca="1" t="shared" si="18"/>
        <v/>
      </c>
      <c r="K89" s="65"/>
      <c r="L89" s="65"/>
      <c r="M89" s="126" t="str">
        <f ca="1" t="shared" si="19"/>
        <v/>
      </c>
      <c r="N89" s="126" t="str">
        <f ca="1" t="shared" si="20"/>
        <v/>
      </c>
      <c r="O89" s="103" t="str">
        <f ca="1" t="shared" si="21"/>
        <v/>
      </c>
      <c r="P89" s="103" t="str">
        <f ca="1" t="shared" si="22"/>
        <v/>
      </c>
    </row>
    <row r="90" ht="15" spans="7:19">
      <c r="G90" s="65" t="str">
        <f ca="1" t="shared" si="16"/>
        <v/>
      </c>
      <c r="H90" s="65" t="str">
        <f ca="1">IF(COUNTA($H$5:H89)-1&lt;$E$6,"("&amp;IF($A$6=0,"",INDIRECT("A"&amp;MOD(ROW()-ROW($A$7),$A$6)+ROW($A$7)))&amp;" "&amp;IF($B$6=0,"",INDIRECT("B"&amp;MOD(ROUNDUP((ROW()-ROW($B$7)+1)/$A$6,0)-1,$B$6)+ROW($A$7)))&amp;" "&amp;IF($D$6=0,"",INDIRECT("C"&amp;MOD(ROUNDUP((ROW()-ROW($B$7)+1)/($E$6/$D$6),0)-1,$E$6)+ROW($A$7)))&amp;")","")</f>
        <v/>
      </c>
      <c r="I90" s="65" t="str">
        <f ca="1" t="shared" si="17"/>
        <v/>
      </c>
      <c r="J90" s="65" t="str">
        <f ca="1" t="shared" si="18"/>
        <v/>
      </c>
      <c r="K90" s="65"/>
      <c r="L90" s="65"/>
      <c r="M90" s="126" t="str">
        <f ca="1" t="shared" si="19"/>
        <v/>
      </c>
      <c r="N90" s="126" t="str">
        <f ca="1" t="shared" si="20"/>
        <v/>
      </c>
      <c r="O90" s="103" t="str">
        <f ca="1" t="shared" si="21"/>
        <v/>
      </c>
      <c r="P90" s="103" t="str">
        <f ca="1" t="shared" si="22"/>
        <v/>
      </c>
    </row>
    <row r="91" ht="15" spans="7:19">
      <c r="G91" s="65" t="str">
        <f ca="1" t="shared" si="16"/>
        <v/>
      </c>
      <c r="H91" s="65" t="str">
        <f ca="1">IF(COUNTA($H$5:H90)-1&lt;$E$6,"("&amp;IF($A$6=0,"",INDIRECT("A"&amp;MOD(ROW()-ROW($A$7),$A$6)+ROW($A$7)))&amp;" "&amp;IF($B$6=0,"",INDIRECT("B"&amp;MOD(ROUNDUP((ROW()-ROW($B$7)+1)/$A$6,0)-1,$B$6)+ROW($A$7)))&amp;" "&amp;IF($D$6=0,"",INDIRECT("C"&amp;MOD(ROUNDUP((ROW()-ROW($B$7)+1)/($E$6/$D$6),0)-1,$E$6)+ROW($A$7)))&amp;")","")</f>
        <v/>
      </c>
      <c r="I91" s="65" t="str">
        <f ca="1" t="shared" si="17"/>
        <v/>
      </c>
      <c r="J91" s="65" t="str">
        <f ca="1" t="shared" si="18"/>
        <v/>
      </c>
      <c r="K91" s="65"/>
      <c r="L91" s="65"/>
      <c r="M91" s="126" t="str">
        <f ca="1" t="shared" si="19"/>
        <v/>
      </c>
      <c r="N91" s="126" t="str">
        <f ca="1" t="shared" si="20"/>
        <v/>
      </c>
      <c r="O91" s="103" t="str">
        <f ca="1" t="shared" si="21"/>
        <v/>
      </c>
      <c r="P91" s="103" t="str">
        <f ca="1" t="shared" si="22"/>
        <v/>
      </c>
    </row>
    <row r="92" ht="15" spans="7:19">
      <c r="G92" s="65" t="str">
        <f ca="1" t="shared" si="16"/>
        <v/>
      </c>
      <c r="H92" s="65" t="str">
        <f ca="1">IF(COUNTA($H$5:H91)-1&lt;$E$6,"("&amp;IF($A$6=0,"",INDIRECT("A"&amp;MOD(ROW()-ROW($A$7),$A$6)+ROW($A$7)))&amp;" "&amp;IF($B$6=0,"",INDIRECT("B"&amp;MOD(ROUNDUP((ROW()-ROW($B$7)+1)/$A$6,0)-1,$B$6)+ROW($A$7)))&amp;" "&amp;IF($D$6=0,"",INDIRECT("C"&amp;MOD(ROUNDUP((ROW()-ROW($B$7)+1)/($E$6/$D$6),0)-1,$E$6)+ROW($A$7)))&amp;")","")</f>
        <v/>
      </c>
      <c r="I92" s="65" t="str">
        <f ca="1" t="shared" si="17"/>
        <v/>
      </c>
      <c r="J92" s="65" t="str">
        <f ca="1" t="shared" si="18"/>
        <v/>
      </c>
      <c r="K92" s="65"/>
      <c r="L92" s="65"/>
      <c r="M92" s="126" t="str">
        <f ca="1" t="shared" si="19"/>
        <v/>
      </c>
      <c r="N92" s="126" t="str">
        <f ca="1" t="shared" si="20"/>
        <v/>
      </c>
      <c r="O92" s="103" t="str">
        <f ca="1" t="shared" si="21"/>
        <v/>
      </c>
      <c r="P92" s="103" t="str">
        <f ca="1" t="shared" si="22"/>
        <v/>
      </c>
    </row>
    <row r="93" ht="15" spans="7:19">
      <c r="G93" s="65" t="str">
        <f ca="1" t="shared" si="16"/>
        <v/>
      </c>
      <c r="H93" s="65" t="str">
        <f ca="1">IF(COUNTA($H$5:H92)-1&lt;$E$6,"("&amp;IF($A$6=0,"",INDIRECT("A"&amp;MOD(ROW()-ROW($A$7),$A$6)+ROW($A$7)))&amp;" "&amp;IF($B$6=0,"",INDIRECT("B"&amp;MOD(ROUNDUP((ROW()-ROW($B$7)+1)/$A$6,0)-1,$B$6)+ROW($A$7)))&amp;" "&amp;IF($D$6=0,"",INDIRECT("C"&amp;MOD(ROUNDUP((ROW()-ROW($B$7)+1)/($E$6/$D$6),0)-1,$E$6)+ROW($A$7)))&amp;")","")</f>
        <v/>
      </c>
      <c r="I93" s="65" t="str">
        <f ca="1" t="shared" si="17"/>
        <v/>
      </c>
      <c r="J93" s="65" t="str">
        <f ca="1" t="shared" si="18"/>
        <v/>
      </c>
      <c r="K93" s="65"/>
      <c r="L93" s="65"/>
      <c r="M93" s="126" t="str">
        <f ca="1" t="shared" si="19"/>
        <v/>
      </c>
      <c r="N93" s="126" t="str">
        <f ca="1" t="shared" si="20"/>
        <v/>
      </c>
      <c r="O93" s="103" t="str">
        <f ca="1" t="shared" si="21"/>
        <v/>
      </c>
      <c r="P93" s="103" t="str">
        <f ca="1" t="shared" si="22"/>
        <v/>
      </c>
    </row>
    <row r="94" ht="15" spans="7:19">
      <c r="G94" s="65" t="str">
        <f ca="1" t="shared" si="16"/>
        <v/>
      </c>
      <c r="H94" s="65" t="str">
        <f ca="1">IF(COUNTA($H$5:H93)-1&lt;$E$6,"("&amp;IF($A$6=0,"",INDIRECT("A"&amp;MOD(ROW()-ROW($A$7),$A$6)+ROW($A$7)))&amp;" "&amp;IF($B$6=0,"",INDIRECT("B"&amp;MOD(ROUNDUP((ROW()-ROW($B$7)+1)/$A$6,0)-1,$B$6)+ROW($A$7)))&amp;" "&amp;IF($D$6=0,"",INDIRECT("C"&amp;MOD(ROUNDUP((ROW()-ROW($B$7)+1)/($E$6/$D$6),0)-1,$E$6)+ROW($A$7)))&amp;")","")</f>
        <v/>
      </c>
      <c r="I94" s="65" t="str">
        <f ca="1" t="shared" si="17"/>
        <v/>
      </c>
      <c r="J94" s="65" t="str">
        <f ca="1" t="shared" si="18"/>
        <v/>
      </c>
      <c r="K94" s="65"/>
      <c r="L94" s="65"/>
      <c r="M94" s="126" t="str">
        <f ca="1" t="shared" si="19"/>
        <v/>
      </c>
      <c r="N94" s="126" t="str">
        <f ca="1" t="shared" si="20"/>
        <v/>
      </c>
      <c r="O94" s="103" t="str">
        <f ca="1" t="shared" si="21"/>
        <v/>
      </c>
      <c r="P94" s="103" t="str">
        <f ca="1" t="shared" si="22"/>
        <v/>
      </c>
    </row>
    <row r="95" ht="15" spans="7:19">
      <c r="G95" s="65" t="str">
        <f ca="1" t="shared" si="16"/>
        <v/>
      </c>
      <c r="H95" s="65" t="str">
        <f ca="1">IF(COUNTA($H$5:H94)-1&lt;$E$6,"("&amp;IF($A$6=0,"",INDIRECT("A"&amp;MOD(ROW()-ROW($A$7),$A$6)+ROW($A$7)))&amp;" "&amp;IF($B$6=0,"",INDIRECT("B"&amp;MOD(ROUNDUP((ROW()-ROW($B$7)+1)/$A$6,0)-1,$B$6)+ROW($A$7)))&amp;" "&amp;IF($D$6=0,"",INDIRECT("C"&amp;MOD(ROUNDUP((ROW()-ROW($B$7)+1)/($E$6/$D$6),0)-1,$E$6)+ROW($A$7)))&amp;")","")</f>
        <v/>
      </c>
      <c r="I95" s="65" t="str">
        <f ca="1" t="shared" si="17"/>
        <v/>
      </c>
      <c r="J95" s="65" t="str">
        <f ca="1" t="shared" si="18"/>
        <v/>
      </c>
      <c r="K95" s="65"/>
      <c r="L95" s="65"/>
      <c r="M95" s="126" t="str">
        <f ca="1" t="shared" si="19"/>
        <v/>
      </c>
      <c r="N95" s="126" t="str">
        <f ca="1" t="shared" si="20"/>
        <v/>
      </c>
      <c r="O95" s="103" t="str">
        <f ca="1" t="shared" si="21"/>
        <v/>
      </c>
      <c r="P95" s="103" t="str">
        <f ca="1" t="shared" si="22"/>
        <v/>
      </c>
    </row>
    <row r="96" ht="15" spans="7:19">
      <c r="G96" s="65" t="str">
        <f ca="1" t="shared" si="16"/>
        <v/>
      </c>
      <c r="H96" s="65" t="str">
        <f ca="1">IF(COUNTA($H$5:H95)-1&lt;$E$6,"("&amp;IF($A$6=0,"",INDIRECT("A"&amp;MOD(ROW()-ROW($A$7),$A$6)+ROW($A$7)))&amp;" "&amp;IF($B$6=0,"",INDIRECT("B"&amp;MOD(ROUNDUP((ROW()-ROW($B$7)+1)/$A$6,0)-1,$B$6)+ROW($A$7)))&amp;" "&amp;IF($D$6=0,"",INDIRECT("C"&amp;MOD(ROUNDUP((ROW()-ROW($B$7)+1)/($E$6/$D$6),0)-1,$E$6)+ROW($A$7)))&amp;")","")</f>
        <v/>
      </c>
      <c r="I96" s="65" t="str">
        <f ca="1" t="shared" si="17"/>
        <v/>
      </c>
      <c r="J96" s="65" t="str">
        <f ca="1" t="shared" si="18"/>
        <v/>
      </c>
      <c r="K96" s="65"/>
      <c r="L96" s="65"/>
      <c r="M96" s="126" t="str">
        <f ca="1" t="shared" si="19"/>
        <v/>
      </c>
      <c r="N96" s="126" t="str">
        <f ca="1" t="shared" si="20"/>
        <v/>
      </c>
      <c r="O96" s="103" t="str">
        <f ca="1" t="shared" si="21"/>
        <v/>
      </c>
      <c r="P96" s="103" t="str">
        <f ca="1" t="shared" si="22"/>
        <v/>
      </c>
    </row>
    <row r="97" ht="15" spans="7:16">
      <c r="G97" s="65" t="str">
        <f ca="1" t="shared" si="16"/>
        <v/>
      </c>
      <c r="H97" s="65" t="str">
        <f ca="1">IF(COUNTA($H$5:H96)-1&lt;$E$6,"("&amp;IF($A$6=0,"",INDIRECT("A"&amp;MOD(ROW()-ROW($A$7),$A$6)+ROW($A$7)))&amp;" "&amp;IF($B$6=0,"",INDIRECT("B"&amp;MOD(ROUNDUP((ROW()-ROW($B$7)+1)/$A$6,0)-1,$B$6)+ROW($A$7)))&amp;" "&amp;IF($D$6=0,"",INDIRECT("C"&amp;MOD(ROUNDUP((ROW()-ROW($B$7)+1)/($E$6/$D$6),0)-1,$E$6)+ROW($A$7)))&amp;")","")</f>
        <v/>
      </c>
      <c r="I97" s="65" t="str">
        <f ca="1" t="shared" si="17"/>
        <v/>
      </c>
      <c r="J97" s="65" t="str">
        <f ca="1" t="shared" si="18"/>
        <v/>
      </c>
      <c r="K97" s="65"/>
      <c r="L97" s="65"/>
      <c r="M97" s="126" t="str">
        <f ca="1" t="shared" si="19"/>
        <v/>
      </c>
      <c r="N97" s="126" t="str">
        <f ca="1" t="shared" si="20"/>
        <v/>
      </c>
      <c r="O97" s="103" t="str">
        <f ca="1" t="shared" si="21"/>
        <v/>
      </c>
      <c r="P97" s="103" t="str">
        <f ca="1" t="shared" si="22"/>
        <v/>
      </c>
    </row>
    <row r="98" ht="15" spans="7:16">
      <c r="G98" s="65" t="str">
        <f ca="1" t="shared" si="16"/>
        <v/>
      </c>
      <c r="H98" s="65" t="str">
        <f ca="1">IF(COUNTA($H$5:H97)-1&lt;$E$6,"("&amp;IF($A$6=0,"",INDIRECT("A"&amp;MOD(ROW()-ROW($A$7),$A$6)+ROW($A$7)))&amp;" "&amp;IF($B$6=0,"",INDIRECT("B"&amp;MOD(ROUNDUP((ROW()-ROW($B$7)+1)/$A$6,0)-1,$B$6)+ROW($A$7)))&amp;" "&amp;IF($D$6=0,"",INDIRECT("C"&amp;MOD(ROUNDUP((ROW()-ROW($B$7)+1)/($E$6/$D$6),0)-1,$E$6)+ROW($A$7)))&amp;")","")</f>
        <v/>
      </c>
      <c r="I98" s="65" t="str">
        <f ca="1" t="shared" si="17"/>
        <v/>
      </c>
      <c r="J98" s="65" t="str">
        <f ca="1" t="shared" si="18"/>
        <v/>
      </c>
      <c r="K98" s="65"/>
      <c r="L98" s="65"/>
      <c r="M98" s="126" t="str">
        <f ca="1" t="shared" si="19"/>
        <v/>
      </c>
      <c r="N98" s="126" t="str">
        <f ca="1" t="shared" si="20"/>
        <v/>
      </c>
      <c r="O98" s="103" t="str">
        <f ca="1" t="shared" si="21"/>
        <v/>
      </c>
      <c r="P98" s="103" t="str">
        <f ca="1" t="shared" si="22"/>
        <v/>
      </c>
    </row>
    <row r="99" ht="15" spans="7:16">
      <c r="G99" s="65" t="str">
        <f ca="1" t="shared" si="16"/>
        <v/>
      </c>
      <c r="H99" s="65" t="str">
        <f ca="1">IF(COUNTA($H$5:H98)-1&lt;$E$6,"("&amp;IF($A$6=0,"",INDIRECT("A"&amp;MOD(ROW()-ROW($A$7),$A$6)+ROW($A$7)))&amp;" "&amp;IF($B$6=0,"",INDIRECT("B"&amp;MOD(ROUNDUP((ROW()-ROW($B$7)+1)/$A$6,0)-1,$B$6)+ROW($A$7)))&amp;" "&amp;IF($D$6=0,"",INDIRECT("C"&amp;MOD(ROUNDUP((ROW()-ROW($B$7)+1)/($E$6/$D$6),0)-1,$E$6)+ROW($A$7)))&amp;")","")</f>
        <v/>
      </c>
      <c r="I99" s="65" t="str">
        <f ca="1" t="shared" si="17"/>
        <v/>
      </c>
      <c r="J99" s="65" t="str">
        <f ca="1" t="shared" si="18"/>
        <v/>
      </c>
      <c r="K99" s="65"/>
      <c r="L99" s="65"/>
      <c r="M99" s="126" t="str">
        <f ca="1" t="shared" si="19"/>
        <v/>
      </c>
      <c r="N99" s="126" t="str">
        <f ca="1" t="shared" si="20"/>
        <v/>
      </c>
      <c r="O99" s="103" t="str">
        <f ca="1" t="shared" si="21"/>
        <v/>
      </c>
      <c r="P99" s="103" t="str">
        <f ca="1" t="shared" si="22"/>
        <v/>
      </c>
    </row>
    <row r="100" ht="15" spans="7:16">
      <c r="G100" s="65" t="str">
        <f ca="1" t="shared" si="16"/>
        <v/>
      </c>
      <c r="H100" s="65" t="str">
        <f ca="1">IF(COUNTA($H$5:H99)-1&lt;$E$6,"("&amp;IF($A$6=0,"",INDIRECT("A"&amp;MOD(ROW()-ROW($A$7),$A$6)+ROW($A$7)))&amp;" "&amp;IF($B$6=0,"",INDIRECT("B"&amp;MOD(ROUNDUP((ROW()-ROW($B$7)+1)/$A$6,0)-1,$B$6)+ROW($A$7)))&amp;" "&amp;IF($D$6=0,"",INDIRECT("C"&amp;MOD(ROUNDUP((ROW()-ROW($B$7)+1)/($E$6/$D$6),0)-1,$E$6)+ROW($A$7)))&amp;")","")</f>
        <v/>
      </c>
      <c r="I100" s="65" t="str">
        <f ca="1" t="shared" si="17"/>
        <v/>
      </c>
      <c r="J100" s="65" t="str">
        <f ca="1" t="shared" si="18"/>
        <v/>
      </c>
      <c r="K100" s="65"/>
      <c r="L100" s="65"/>
      <c r="M100" s="126" t="str">
        <f ca="1" t="shared" si="19"/>
        <v/>
      </c>
      <c r="N100" s="126" t="str">
        <f ca="1" t="shared" si="20"/>
        <v/>
      </c>
      <c r="O100" s="103" t="str">
        <f ca="1" t="shared" si="21"/>
        <v/>
      </c>
      <c r="P100" s="103" t="str">
        <f ca="1" t="shared" si="22"/>
        <v/>
      </c>
    </row>
    <row r="101" ht="15" spans="7:16">
      <c r="G101" s="65" t="str">
        <f ca="1" t="shared" si="16"/>
        <v/>
      </c>
      <c r="H101" s="65" t="str">
        <f ca="1">IF(COUNTA($H$5:H100)-1&lt;$E$6,"("&amp;IF($A$6=0,"",INDIRECT("A"&amp;MOD(ROW()-ROW($A$7),$A$6)+ROW($A$7)))&amp;" "&amp;IF($B$6=0,"",INDIRECT("B"&amp;MOD(ROUNDUP((ROW()-ROW($B$7)+1)/$A$6,0)-1,$B$6)+ROW($A$7)))&amp;" "&amp;IF($D$6=0,"",INDIRECT("C"&amp;MOD(ROUNDUP((ROW()-ROW($B$7)+1)/($E$6/$D$6),0)-1,$E$6)+ROW($A$7)))&amp;")","")</f>
        <v/>
      </c>
      <c r="I101" s="65" t="str">
        <f ca="1" t="shared" si="17"/>
        <v/>
      </c>
      <c r="J101" s="65" t="str">
        <f ca="1" t="shared" si="18"/>
        <v/>
      </c>
      <c r="K101" s="65"/>
      <c r="L101" s="65"/>
      <c r="M101" s="126" t="str">
        <f ca="1" t="shared" si="19"/>
        <v/>
      </c>
      <c r="N101" s="126" t="str">
        <f ca="1" t="shared" si="20"/>
        <v/>
      </c>
      <c r="O101" s="103" t="str">
        <f ca="1" t="shared" si="21"/>
        <v/>
      </c>
      <c r="P101" s="103" t="str">
        <f ca="1" t="shared" si="22"/>
        <v/>
      </c>
    </row>
    <row r="102" ht="15" spans="7:16">
      <c r="G102" s="65" t="str">
        <f ca="1" t="shared" si="16"/>
        <v/>
      </c>
      <c r="H102" s="65" t="str">
        <f ca="1">IF(COUNTA($H$5:H101)-1&lt;$E$6,"("&amp;IF($A$6=0,"",INDIRECT("A"&amp;MOD(ROW()-ROW($A$7),$A$6)+ROW($A$7)))&amp;" "&amp;IF($B$6=0,"",INDIRECT("B"&amp;MOD(ROUNDUP((ROW()-ROW($B$7)+1)/$A$6,0)-1,$B$6)+ROW($A$7)))&amp;" "&amp;IF($D$6=0,"",INDIRECT("C"&amp;MOD(ROUNDUP((ROW()-ROW($B$7)+1)/($E$6/$D$6),0)-1,$E$6)+ROW($A$7)))&amp;")","")</f>
        <v/>
      </c>
      <c r="I102" s="65" t="str">
        <f ca="1" t="shared" si="17"/>
        <v/>
      </c>
      <c r="J102" s="65" t="str">
        <f ca="1" t="shared" si="18"/>
        <v/>
      </c>
      <c r="K102" s="65"/>
      <c r="L102" s="65"/>
      <c r="M102" s="126" t="str">
        <f ca="1" t="shared" si="19"/>
        <v/>
      </c>
      <c r="N102" s="126" t="str">
        <f ca="1" t="shared" si="20"/>
        <v/>
      </c>
      <c r="O102" s="103" t="str">
        <f ca="1" t="shared" si="21"/>
        <v/>
      </c>
      <c r="P102" s="103" t="str">
        <f ca="1" t="shared" si="22"/>
        <v/>
      </c>
    </row>
    <row r="103" ht="15" spans="7:16">
      <c r="G103" s="65" t="str">
        <f ca="1" t="shared" si="16"/>
        <v/>
      </c>
      <c r="H103" s="65" t="str">
        <f ca="1">IF(COUNTA($H$5:H102)-1&lt;$E$6,"("&amp;IF($A$6=0,"",INDIRECT("A"&amp;MOD(ROW()-ROW($A$7),$A$6)+ROW($A$7)))&amp;" "&amp;IF($B$6=0,"",INDIRECT("B"&amp;MOD(ROUNDUP((ROW()-ROW($B$7)+1)/$A$6,0)-1,$B$6)+ROW($A$7)))&amp;" "&amp;IF($D$6=0,"",INDIRECT("C"&amp;MOD(ROUNDUP((ROW()-ROW($B$7)+1)/($E$6/$D$6),0)-1,$E$6)+ROW($A$7)))&amp;")","")</f>
        <v/>
      </c>
      <c r="I103" s="65" t="str">
        <f ca="1" t="shared" si="17"/>
        <v/>
      </c>
      <c r="J103" s="65" t="str">
        <f ca="1" t="shared" si="18"/>
        <v/>
      </c>
      <c r="K103" s="65"/>
      <c r="L103" s="65"/>
      <c r="M103" s="126" t="str">
        <f ca="1" t="shared" si="19"/>
        <v/>
      </c>
      <c r="N103" s="126" t="str">
        <f ca="1" t="shared" si="20"/>
        <v/>
      </c>
      <c r="O103" s="103" t="str">
        <f ca="1" t="shared" si="21"/>
        <v/>
      </c>
      <c r="P103" s="103" t="str">
        <f ca="1" t="shared" si="22"/>
        <v/>
      </c>
    </row>
    <row r="104" ht="15" spans="7:16">
      <c r="G104" s="65" t="str">
        <f ca="1" t="shared" si="16"/>
        <v/>
      </c>
      <c r="H104" s="65" t="str">
        <f ca="1">IF(COUNTA($H$5:H103)-1&lt;$E$6,"("&amp;IF($A$6=0,"",INDIRECT("A"&amp;MOD(ROW()-ROW($A$7),$A$6)+ROW($A$7)))&amp;" "&amp;IF($B$6=0,"",INDIRECT("B"&amp;MOD(ROUNDUP((ROW()-ROW($B$7)+1)/$A$6,0)-1,$B$6)+ROW($A$7)))&amp;" "&amp;IF($D$6=0,"",INDIRECT("C"&amp;MOD(ROUNDUP((ROW()-ROW($B$7)+1)/($E$6/$D$6),0)-1,$E$6)+ROW($A$7)))&amp;")","")</f>
        <v/>
      </c>
      <c r="I104" s="65" t="str">
        <f ca="1" t="shared" si="17"/>
        <v/>
      </c>
      <c r="J104" s="65" t="str">
        <f ca="1" t="shared" si="18"/>
        <v/>
      </c>
      <c r="K104" s="65"/>
      <c r="L104" s="65"/>
      <c r="M104" s="126" t="str">
        <f ca="1" t="shared" si="19"/>
        <v/>
      </c>
      <c r="N104" s="126" t="str">
        <f ca="1" t="shared" si="20"/>
        <v/>
      </c>
      <c r="O104" s="103" t="str">
        <f ca="1" t="shared" si="21"/>
        <v/>
      </c>
      <c r="P104" s="103" t="str">
        <f ca="1" t="shared" si="22"/>
        <v/>
      </c>
    </row>
    <row r="105" ht="15" spans="7:16">
      <c r="G105" s="65" t="str">
        <f ca="1" t="shared" si="16"/>
        <v/>
      </c>
      <c r="H105" s="65" t="str">
        <f ca="1">IF(COUNTA($H$5:H104)-1&lt;$E$6,"("&amp;IF($A$6=0,"",INDIRECT("A"&amp;MOD(ROW()-ROW($A$7),$A$6)+ROW($A$7)))&amp;" "&amp;IF($B$6=0,"",INDIRECT("B"&amp;MOD(ROUNDUP((ROW()-ROW($B$7)+1)/$A$6,0)-1,$B$6)+ROW($A$7)))&amp;" "&amp;IF($D$6=0,"",INDIRECT("C"&amp;MOD(ROUNDUP((ROW()-ROW($B$7)+1)/($E$6/$D$6),0)-1,$E$6)+ROW($A$7)))&amp;")","")</f>
        <v/>
      </c>
      <c r="I105" s="65" t="str">
        <f ca="1" t="shared" si="17"/>
        <v/>
      </c>
      <c r="J105" s="65" t="str">
        <f ca="1" t="shared" si="18"/>
        <v/>
      </c>
      <c r="K105" s="65"/>
      <c r="L105" s="65"/>
      <c r="M105" s="126" t="str">
        <f ca="1" t="shared" si="19"/>
        <v/>
      </c>
      <c r="N105" s="126" t="str">
        <f ca="1" t="shared" si="20"/>
        <v/>
      </c>
      <c r="O105" s="103" t="str">
        <f ca="1" t="shared" si="21"/>
        <v/>
      </c>
      <c r="P105" s="103" t="str">
        <f ca="1" t="shared" si="22"/>
        <v/>
      </c>
    </row>
    <row r="106" ht="15" spans="7:16">
      <c r="G106" s="65" t="str">
        <f ca="1" t="shared" si="16"/>
        <v/>
      </c>
      <c r="H106" s="65" t="str">
        <f ca="1">IF(COUNTA($H$5:H105)-1&lt;$E$6,"("&amp;IF($A$6=0,"",INDIRECT("A"&amp;MOD(ROW()-ROW($A$7),$A$6)+ROW($A$7)))&amp;" "&amp;IF($B$6=0,"",INDIRECT("B"&amp;MOD(ROUNDUP((ROW()-ROW($B$7)+1)/$A$6,0)-1,$B$6)+ROW($A$7)))&amp;" "&amp;IF($D$6=0,"",INDIRECT("C"&amp;MOD(ROUNDUP((ROW()-ROW($B$7)+1)/($E$6/$D$6),0)-1,$E$6)+ROW($A$7)))&amp;")","")</f>
        <v/>
      </c>
      <c r="I106" s="65" t="str">
        <f ca="1" t="shared" si="17"/>
        <v/>
      </c>
      <c r="J106" s="65" t="str">
        <f ca="1" t="shared" si="18"/>
        <v/>
      </c>
      <c r="K106" s="65"/>
      <c r="L106" s="65"/>
      <c r="M106" s="126" t="str">
        <f ca="1" t="shared" si="19"/>
        <v/>
      </c>
      <c r="N106" s="126" t="str">
        <f ca="1" t="shared" si="20"/>
        <v/>
      </c>
      <c r="O106" s="103" t="str">
        <f ca="1" t="shared" si="21"/>
        <v/>
      </c>
      <c r="P106" s="103" t="str">
        <f ca="1" t="shared" si="22"/>
        <v/>
      </c>
    </row>
    <row r="107" ht="15" spans="7:16">
      <c r="G107" s="65" t="str">
        <f ca="1" t="shared" si="16"/>
        <v/>
      </c>
      <c r="H107" s="65" t="str">
        <f ca="1">IF(COUNTA($H$5:H106)-1&lt;$E$6,"("&amp;IF($A$6=0,"",INDIRECT("A"&amp;MOD(ROW()-ROW($A$7),$A$6)+ROW($A$7)))&amp;" "&amp;IF($B$6=0,"",INDIRECT("B"&amp;MOD(ROUNDUP((ROW()-ROW($B$7)+1)/$A$6,0)-1,$B$6)+ROW($A$7)))&amp;" "&amp;IF($D$6=0,"",INDIRECT("C"&amp;MOD(ROUNDUP((ROW()-ROW($B$7)+1)/($E$6/$D$6),0)-1,$E$6)+ROW($A$7)))&amp;")","")</f>
        <v/>
      </c>
      <c r="I107" s="65" t="str">
        <f ca="1" t="shared" si="17"/>
        <v/>
      </c>
      <c r="J107" s="65" t="str">
        <f ca="1" t="shared" si="18"/>
        <v/>
      </c>
      <c r="K107" s="65"/>
      <c r="L107" s="65"/>
      <c r="M107" s="126" t="str">
        <f ca="1" t="shared" si="19"/>
        <v/>
      </c>
      <c r="N107" s="126" t="str">
        <f ca="1" t="shared" si="20"/>
        <v/>
      </c>
      <c r="O107" s="103" t="str">
        <f ca="1" t="shared" si="21"/>
        <v/>
      </c>
      <c r="P107" s="103" t="str">
        <f ca="1" t="shared" si="22"/>
        <v/>
      </c>
    </row>
    <row r="108" ht="15" spans="7:16">
      <c r="G108" s="65" t="str">
        <f ca="1" t="shared" si="16"/>
        <v/>
      </c>
      <c r="H108" s="65" t="str">
        <f ca="1">IF(COUNTA($H$5:H107)-1&lt;$E$6,"("&amp;IF($A$6=0,"",INDIRECT("A"&amp;MOD(ROW()-ROW($A$7),$A$6)+ROW($A$7)))&amp;" "&amp;IF($B$6=0,"",INDIRECT("B"&amp;MOD(ROUNDUP((ROW()-ROW($B$7)+1)/$A$6,0)-1,$B$6)+ROW($A$7)))&amp;" "&amp;IF($D$6=0,"",INDIRECT("C"&amp;MOD(ROUNDUP((ROW()-ROW($B$7)+1)/($E$6/$D$6),0)-1,$E$6)+ROW($A$7)))&amp;")","")</f>
        <v/>
      </c>
      <c r="I108" s="65" t="str">
        <f ca="1" t="shared" si="17"/>
        <v/>
      </c>
      <c r="J108" s="65" t="str">
        <f ca="1" t="shared" si="18"/>
        <v/>
      </c>
      <c r="K108" s="65"/>
      <c r="L108" s="65"/>
      <c r="M108" s="126" t="str">
        <f ca="1" t="shared" si="19"/>
        <v/>
      </c>
      <c r="N108" s="126" t="str">
        <f ca="1" t="shared" si="20"/>
        <v/>
      </c>
      <c r="O108" s="103" t="str">
        <f ca="1" t="shared" si="21"/>
        <v/>
      </c>
      <c r="P108" s="103" t="str">
        <f ca="1" t="shared" si="22"/>
        <v/>
      </c>
    </row>
    <row r="109" ht="15" spans="7:16">
      <c r="G109" s="65" t="str">
        <f ca="1" t="shared" si="16"/>
        <v/>
      </c>
      <c r="H109" s="65" t="str">
        <f ca="1">IF(COUNTA($H$5:H108)-1&lt;$E$6,"("&amp;IF($A$6=0,"",INDIRECT("A"&amp;MOD(ROW()-ROW($A$7),$A$6)+ROW($A$7)))&amp;" "&amp;IF($B$6=0,"",INDIRECT("B"&amp;MOD(ROUNDUP((ROW()-ROW($B$7)+1)/$A$6,0)-1,$B$6)+ROW($A$7)))&amp;" "&amp;IF($D$6=0,"",INDIRECT("C"&amp;MOD(ROUNDUP((ROW()-ROW($B$7)+1)/($E$6/$D$6),0)-1,$E$6)+ROW($A$7)))&amp;")","")</f>
        <v/>
      </c>
      <c r="I109" s="65" t="str">
        <f ca="1" t="shared" si="17"/>
        <v/>
      </c>
      <c r="J109" s="65" t="str">
        <f ca="1" t="shared" si="18"/>
        <v/>
      </c>
      <c r="K109" s="65"/>
      <c r="L109" s="65"/>
      <c r="M109" s="126" t="str">
        <f ca="1" t="shared" si="19"/>
        <v/>
      </c>
      <c r="N109" s="126" t="str">
        <f ca="1" t="shared" si="20"/>
        <v/>
      </c>
      <c r="O109" s="103" t="str">
        <f ca="1" t="shared" si="21"/>
        <v/>
      </c>
      <c r="P109" s="103" t="str">
        <f ca="1" t="shared" si="22"/>
        <v/>
      </c>
    </row>
    <row r="110" ht="15" spans="7:16">
      <c r="G110" s="65" t="str">
        <f ca="1" t="shared" ref="G110:G141" si="23">IF(AND(0=$B$6,$A$5&gt;0),IF($H110="","",$G$6&amp;"-"&amp;O110),IF(OR($H110="",$C$6=0),"",$G$6&amp;"-"&amp;VLOOKUP(M110,B:C,2,FALSE)&amp;"-"&amp;O110))</f>
        <v/>
      </c>
      <c r="H110" s="65" t="str">
        <f ca="1">IF(COUNTA($H$5:H109)-1&lt;$E$6,"("&amp;IF($A$6=0,"",INDIRECT("A"&amp;MOD(ROW()-ROW($A$7),$A$6)+ROW($A$7)))&amp;" "&amp;IF($B$6=0,"",INDIRECT("B"&amp;MOD(ROUNDUP((ROW()-ROW($B$7)+1)/$A$6,0)-1,$B$6)+ROW($A$7)))&amp;" "&amp;IF($D$6=0,"",INDIRECT("C"&amp;MOD(ROUNDUP((ROW()-ROW($B$7)+1)/($E$6/$D$6),0)-1,$E$6)+ROW($A$7)))&amp;")","")</f>
        <v/>
      </c>
      <c r="I110" s="65" t="str">
        <f ca="1" t="shared" ref="I110:I141" si="24">IF(H110="","",COUNTIF($H$7:$H$105,H110))</f>
        <v/>
      </c>
      <c r="J110" s="65" t="str">
        <f ca="1" t="shared" ref="J110:J141" si="25">IF(OR(H110="",$G$1=""),"",$B$3&amp;$G$1&amp;H110)</f>
        <v/>
      </c>
      <c r="K110" s="65"/>
      <c r="L110" s="65"/>
      <c r="M110" s="126" t="str">
        <f ca="1" t="shared" ref="M110:M141" si="26">IF(OR($H110="",$B$6=0),"",INDIRECT("B"&amp;MOD(ROUNDUP((ROW()-ROW($B$7)+1)/$A$6,0)-1,$B$6)+ROW($A$7)))</f>
        <v/>
      </c>
      <c r="N110" s="126" t="str">
        <f ca="1" t="shared" ref="N110:N141" si="27">M110</f>
        <v/>
      </c>
      <c r="O110" s="103" t="str">
        <f ca="1" t="shared" ref="O110:O141" si="28">IF(H110="","",IF($A$6=0,"",INDIRECT("A"&amp;MOD(ROW()-ROW($A$7),$A$6)+ROW($A$7))))</f>
        <v/>
      </c>
      <c r="P110" s="103" t="str">
        <f ca="1" t="shared" ref="P110:P141" si="29">IF(O110="","",IF($P$3="否",O110,O110&amp;"cm"))</f>
        <v/>
      </c>
    </row>
    <row r="111" ht="15" spans="7:16">
      <c r="G111" s="65" t="str">
        <f ca="1" t="shared" si="23"/>
        <v/>
      </c>
      <c r="H111" s="65" t="str">
        <f ca="1">IF(COUNTA($H$5:H110)-1&lt;$E$6,"("&amp;IF($A$6=0,"",INDIRECT("A"&amp;MOD(ROW()-ROW($A$7),$A$6)+ROW($A$7)))&amp;" "&amp;IF($B$6=0,"",INDIRECT("B"&amp;MOD(ROUNDUP((ROW()-ROW($B$7)+1)/$A$6,0)-1,$B$6)+ROW($A$7)))&amp;" "&amp;IF($D$6=0,"",INDIRECT("C"&amp;MOD(ROUNDUP((ROW()-ROW($B$7)+1)/($E$6/$D$6),0)-1,$E$6)+ROW($A$7)))&amp;")","")</f>
        <v/>
      </c>
      <c r="I111" s="65" t="str">
        <f ca="1" t="shared" si="24"/>
        <v/>
      </c>
      <c r="J111" s="65" t="str">
        <f ca="1" t="shared" si="25"/>
        <v/>
      </c>
      <c r="K111" s="65"/>
      <c r="L111" s="65"/>
      <c r="M111" s="126" t="str">
        <f ca="1" t="shared" si="26"/>
        <v/>
      </c>
      <c r="N111" s="126" t="str">
        <f ca="1" t="shared" si="27"/>
        <v/>
      </c>
      <c r="O111" s="103" t="str">
        <f ca="1" t="shared" si="28"/>
        <v/>
      </c>
      <c r="P111" s="103" t="str">
        <f ca="1" t="shared" si="29"/>
        <v/>
      </c>
    </row>
    <row r="112" ht="15" spans="7:16">
      <c r="G112" s="65" t="str">
        <f ca="1" t="shared" si="23"/>
        <v/>
      </c>
      <c r="H112" s="65" t="str">
        <f ca="1">IF(COUNTA($H$5:H111)-1&lt;$E$6,"("&amp;IF($A$6=0,"",INDIRECT("A"&amp;MOD(ROW()-ROW($A$7),$A$6)+ROW($A$7)))&amp;" "&amp;IF($B$6=0,"",INDIRECT("B"&amp;MOD(ROUNDUP((ROW()-ROW($B$7)+1)/$A$6,0)-1,$B$6)+ROW($A$7)))&amp;" "&amp;IF($D$6=0,"",INDIRECT("C"&amp;MOD(ROUNDUP((ROW()-ROW($B$7)+1)/($E$6/$D$6),0)-1,$E$6)+ROW($A$7)))&amp;")","")</f>
        <v/>
      </c>
      <c r="I112" s="65" t="str">
        <f ca="1" t="shared" si="24"/>
        <v/>
      </c>
      <c r="J112" s="65" t="str">
        <f ca="1" t="shared" si="25"/>
        <v/>
      </c>
      <c r="K112" s="65"/>
      <c r="L112" s="65"/>
      <c r="M112" s="126" t="str">
        <f ca="1" t="shared" si="26"/>
        <v/>
      </c>
      <c r="N112" s="126" t="str">
        <f ca="1" t="shared" si="27"/>
        <v/>
      </c>
      <c r="O112" s="103" t="str">
        <f ca="1" t="shared" si="28"/>
        <v/>
      </c>
      <c r="P112" s="103" t="str">
        <f ca="1" t="shared" si="29"/>
        <v/>
      </c>
    </row>
    <row r="113" ht="15" spans="7:16">
      <c r="G113" s="65" t="str">
        <f ca="1" t="shared" si="23"/>
        <v/>
      </c>
      <c r="H113" s="65" t="str">
        <f ca="1">IF(COUNTA($H$5:H112)-1&lt;$E$6,"("&amp;IF($A$6=0,"",INDIRECT("A"&amp;MOD(ROW()-ROW($A$7),$A$6)+ROW($A$7)))&amp;" "&amp;IF($B$6=0,"",INDIRECT("B"&amp;MOD(ROUNDUP((ROW()-ROW($B$7)+1)/$A$6,0)-1,$B$6)+ROW($A$7)))&amp;" "&amp;IF($D$6=0,"",INDIRECT("C"&amp;MOD(ROUNDUP((ROW()-ROW($B$7)+1)/($E$6/$D$6),0)-1,$E$6)+ROW($A$7)))&amp;")","")</f>
        <v/>
      </c>
      <c r="I113" s="65" t="str">
        <f ca="1" t="shared" si="24"/>
        <v/>
      </c>
      <c r="J113" s="65" t="str">
        <f ca="1" t="shared" si="25"/>
        <v/>
      </c>
      <c r="K113" s="65"/>
      <c r="L113" s="65"/>
      <c r="M113" s="126" t="str">
        <f ca="1" t="shared" si="26"/>
        <v/>
      </c>
      <c r="N113" s="126" t="str">
        <f ca="1" t="shared" si="27"/>
        <v/>
      </c>
      <c r="O113" s="103" t="str">
        <f ca="1" t="shared" si="28"/>
        <v/>
      </c>
      <c r="P113" s="103" t="str">
        <f ca="1" t="shared" si="29"/>
        <v/>
      </c>
    </row>
    <row r="114" ht="15" spans="7:16">
      <c r="G114" s="65" t="str">
        <f ca="1" t="shared" si="23"/>
        <v/>
      </c>
      <c r="H114" s="65" t="str">
        <f ca="1">IF(COUNTA($H$5:H113)-1&lt;$E$6,"("&amp;IF($A$6=0,"",INDIRECT("A"&amp;MOD(ROW()-ROW($A$7),$A$6)+ROW($A$7)))&amp;" "&amp;IF($B$6=0,"",INDIRECT("B"&amp;MOD(ROUNDUP((ROW()-ROW($B$7)+1)/$A$6,0)-1,$B$6)+ROW($A$7)))&amp;" "&amp;IF($D$6=0,"",INDIRECT("C"&amp;MOD(ROUNDUP((ROW()-ROW($B$7)+1)/($E$6/$D$6),0)-1,$E$6)+ROW($A$7)))&amp;")","")</f>
        <v/>
      </c>
      <c r="I114" s="65" t="str">
        <f ca="1" t="shared" si="24"/>
        <v/>
      </c>
      <c r="J114" s="65" t="str">
        <f ca="1" t="shared" si="25"/>
        <v/>
      </c>
      <c r="K114" s="65"/>
      <c r="L114" s="65"/>
      <c r="M114" s="126" t="str">
        <f ca="1" t="shared" si="26"/>
        <v/>
      </c>
      <c r="N114" s="126" t="str">
        <f ca="1" t="shared" si="27"/>
        <v/>
      </c>
      <c r="O114" s="103" t="str">
        <f ca="1" t="shared" si="28"/>
        <v/>
      </c>
      <c r="P114" s="103" t="str">
        <f ca="1" t="shared" si="29"/>
        <v/>
      </c>
    </row>
    <row r="115" ht="15" spans="7:16">
      <c r="G115" s="65" t="str">
        <f ca="1" t="shared" si="23"/>
        <v/>
      </c>
      <c r="H115" s="65" t="str">
        <f ca="1">IF(COUNTA($H$5:H114)-1&lt;$E$6,"("&amp;IF($A$6=0,"",INDIRECT("A"&amp;MOD(ROW()-ROW($A$7),$A$6)+ROW($A$7)))&amp;" "&amp;IF($B$6=0,"",INDIRECT("B"&amp;MOD(ROUNDUP((ROW()-ROW($B$7)+1)/$A$6,0)-1,$B$6)+ROW($A$7)))&amp;" "&amp;IF($D$6=0,"",INDIRECT("C"&amp;MOD(ROUNDUP((ROW()-ROW($B$7)+1)/($E$6/$D$6),0)-1,$E$6)+ROW($A$7)))&amp;")","")</f>
        <v/>
      </c>
      <c r="I115" s="65" t="str">
        <f ca="1" t="shared" si="24"/>
        <v/>
      </c>
      <c r="J115" s="65" t="str">
        <f ca="1" t="shared" si="25"/>
        <v/>
      </c>
      <c r="K115" s="65"/>
      <c r="L115" s="65"/>
      <c r="M115" s="126" t="str">
        <f ca="1" t="shared" si="26"/>
        <v/>
      </c>
      <c r="N115" s="126" t="str">
        <f ca="1" t="shared" si="27"/>
        <v/>
      </c>
      <c r="O115" s="103" t="str">
        <f ca="1" t="shared" si="28"/>
        <v/>
      </c>
      <c r="P115" s="103" t="str">
        <f ca="1" t="shared" si="29"/>
        <v/>
      </c>
    </row>
    <row r="116" ht="15" spans="7:16">
      <c r="G116" s="65" t="str">
        <f ca="1" t="shared" si="23"/>
        <v/>
      </c>
      <c r="H116" s="65" t="str">
        <f ca="1">IF(COUNTA($H$5:H115)-1&lt;$E$6,"("&amp;IF($A$6=0,"",INDIRECT("A"&amp;MOD(ROW()-ROW($A$7),$A$6)+ROW($A$7)))&amp;" "&amp;IF($B$6=0,"",INDIRECT("B"&amp;MOD(ROUNDUP((ROW()-ROW($B$7)+1)/$A$6,0)-1,$B$6)+ROW($A$7)))&amp;" "&amp;IF($D$6=0,"",INDIRECT("C"&amp;MOD(ROUNDUP((ROW()-ROW($B$7)+1)/($E$6/$D$6),0)-1,$E$6)+ROW($A$7)))&amp;")","")</f>
        <v/>
      </c>
      <c r="I116" s="65" t="str">
        <f ca="1" t="shared" si="24"/>
        <v/>
      </c>
      <c r="J116" s="65" t="str">
        <f ca="1" t="shared" si="25"/>
        <v/>
      </c>
      <c r="K116" s="65"/>
      <c r="L116" s="65"/>
      <c r="M116" s="126" t="str">
        <f ca="1" t="shared" si="26"/>
        <v/>
      </c>
      <c r="N116" s="126" t="str">
        <f ca="1" t="shared" si="27"/>
        <v/>
      </c>
      <c r="O116" s="103" t="str">
        <f ca="1" t="shared" si="28"/>
        <v/>
      </c>
      <c r="P116" s="103" t="str">
        <f ca="1" t="shared" si="29"/>
        <v/>
      </c>
    </row>
    <row r="117" ht="15" spans="7:16">
      <c r="G117" s="65" t="str">
        <f ca="1" t="shared" si="23"/>
        <v/>
      </c>
      <c r="H117" s="65" t="str">
        <f ca="1">IF(COUNTA($H$5:H116)-1&lt;$E$6,"("&amp;IF($A$6=0,"",INDIRECT("A"&amp;MOD(ROW()-ROW($A$7),$A$6)+ROW($A$7)))&amp;" "&amp;IF($B$6=0,"",INDIRECT("B"&amp;MOD(ROUNDUP((ROW()-ROW($B$7)+1)/$A$6,0)-1,$B$6)+ROW($A$7)))&amp;" "&amp;IF($D$6=0,"",INDIRECT("C"&amp;MOD(ROUNDUP((ROW()-ROW($B$7)+1)/($E$6/$D$6),0)-1,$E$6)+ROW($A$7)))&amp;")","")</f>
        <v/>
      </c>
      <c r="I117" s="65" t="str">
        <f ca="1" t="shared" si="24"/>
        <v/>
      </c>
      <c r="J117" s="65" t="str">
        <f ca="1" t="shared" si="25"/>
        <v/>
      </c>
      <c r="K117" s="65"/>
      <c r="L117" s="65"/>
      <c r="M117" s="126" t="str">
        <f ca="1" t="shared" si="26"/>
        <v/>
      </c>
      <c r="N117" s="126" t="str">
        <f ca="1" t="shared" si="27"/>
        <v/>
      </c>
      <c r="O117" s="103" t="str">
        <f ca="1" t="shared" si="28"/>
        <v/>
      </c>
      <c r="P117" s="103" t="str">
        <f ca="1" t="shared" si="29"/>
        <v/>
      </c>
    </row>
    <row r="118" ht="15" spans="7:16">
      <c r="G118" s="65" t="str">
        <f ca="1" t="shared" si="23"/>
        <v/>
      </c>
      <c r="H118" s="65" t="str">
        <f ca="1">IF(COUNTA($H$5:H117)-1&lt;$E$6,"("&amp;IF($A$6=0,"",INDIRECT("A"&amp;MOD(ROW()-ROW($A$7),$A$6)+ROW($A$7)))&amp;" "&amp;IF($B$6=0,"",INDIRECT("B"&amp;MOD(ROUNDUP((ROW()-ROW($B$7)+1)/$A$6,0)-1,$B$6)+ROW($A$7)))&amp;" "&amp;IF($D$6=0,"",INDIRECT("C"&amp;MOD(ROUNDUP((ROW()-ROW($B$7)+1)/($E$6/$D$6),0)-1,$E$6)+ROW($A$7)))&amp;")","")</f>
        <v/>
      </c>
      <c r="I118" s="65" t="str">
        <f ca="1" t="shared" si="24"/>
        <v/>
      </c>
      <c r="J118" s="65" t="str">
        <f ca="1" t="shared" si="25"/>
        <v/>
      </c>
      <c r="K118" s="65"/>
      <c r="L118" s="65"/>
      <c r="M118" s="126" t="str">
        <f ca="1" t="shared" si="26"/>
        <v/>
      </c>
      <c r="N118" s="126" t="str">
        <f ca="1" t="shared" si="27"/>
        <v/>
      </c>
      <c r="O118" s="103" t="str">
        <f ca="1" t="shared" si="28"/>
        <v/>
      </c>
      <c r="P118" s="103" t="str">
        <f ca="1" t="shared" si="29"/>
        <v/>
      </c>
    </row>
    <row r="119" ht="15" spans="7:16">
      <c r="G119" s="65" t="str">
        <f ca="1" t="shared" si="23"/>
        <v/>
      </c>
      <c r="H119" s="65" t="str">
        <f ca="1">IF(COUNTA($H$5:H118)-1&lt;$E$6,"("&amp;IF($A$6=0,"",INDIRECT("A"&amp;MOD(ROW()-ROW($A$7),$A$6)+ROW($A$7)))&amp;" "&amp;IF($B$6=0,"",INDIRECT("B"&amp;MOD(ROUNDUP((ROW()-ROW($B$7)+1)/$A$6,0)-1,$B$6)+ROW($A$7)))&amp;" "&amp;IF($D$6=0,"",INDIRECT("C"&amp;MOD(ROUNDUP((ROW()-ROW($B$7)+1)/($E$6/$D$6),0)-1,$E$6)+ROW($A$7)))&amp;")","")</f>
        <v/>
      </c>
      <c r="I119" s="65" t="str">
        <f ca="1" t="shared" si="24"/>
        <v/>
      </c>
      <c r="J119" s="65" t="str">
        <f ca="1" t="shared" si="25"/>
        <v/>
      </c>
      <c r="K119" s="65"/>
      <c r="L119" s="65"/>
      <c r="M119" s="126" t="str">
        <f ca="1" t="shared" si="26"/>
        <v/>
      </c>
      <c r="N119" s="126" t="str">
        <f ca="1" t="shared" si="27"/>
        <v/>
      </c>
      <c r="O119" s="103" t="str">
        <f ca="1" t="shared" si="28"/>
        <v/>
      </c>
      <c r="P119" s="103" t="str">
        <f ca="1" t="shared" si="29"/>
        <v/>
      </c>
    </row>
    <row r="120" ht="15" spans="7:16">
      <c r="G120" s="65" t="str">
        <f ca="1" t="shared" si="23"/>
        <v/>
      </c>
      <c r="H120" s="65" t="str">
        <f ca="1">IF(COUNTA($H$5:H119)-1&lt;$E$6,"("&amp;IF($A$6=0,"",INDIRECT("A"&amp;MOD(ROW()-ROW($A$7),$A$6)+ROW($A$7)))&amp;" "&amp;IF($B$6=0,"",INDIRECT("B"&amp;MOD(ROUNDUP((ROW()-ROW($B$7)+1)/$A$6,0)-1,$B$6)+ROW($A$7)))&amp;" "&amp;IF($D$6=0,"",INDIRECT("C"&amp;MOD(ROUNDUP((ROW()-ROW($B$7)+1)/($E$6/$D$6),0)-1,$E$6)+ROW($A$7)))&amp;")","")</f>
        <v/>
      </c>
      <c r="I120" s="65" t="str">
        <f ca="1" t="shared" si="24"/>
        <v/>
      </c>
      <c r="J120" s="65" t="str">
        <f ca="1" t="shared" si="25"/>
        <v/>
      </c>
      <c r="K120" s="65"/>
      <c r="L120" s="65"/>
      <c r="M120" s="126" t="str">
        <f ca="1" t="shared" si="26"/>
        <v/>
      </c>
      <c r="N120" s="126" t="str">
        <f ca="1" t="shared" si="27"/>
        <v/>
      </c>
      <c r="O120" s="103" t="str">
        <f ca="1" t="shared" si="28"/>
        <v/>
      </c>
      <c r="P120" s="103" t="str">
        <f ca="1" t="shared" si="29"/>
        <v/>
      </c>
    </row>
    <row r="121" ht="15" spans="7:16">
      <c r="G121" s="65" t="str">
        <f ca="1" t="shared" si="23"/>
        <v/>
      </c>
      <c r="H121" s="65" t="str">
        <f ca="1">IF(COUNTA($H$5:H120)-1&lt;$E$6,"("&amp;IF($A$6=0,"",INDIRECT("A"&amp;MOD(ROW()-ROW($A$7),$A$6)+ROW($A$7)))&amp;" "&amp;IF($B$6=0,"",INDIRECT("B"&amp;MOD(ROUNDUP((ROW()-ROW($B$7)+1)/$A$6,0)-1,$B$6)+ROW($A$7)))&amp;" "&amp;IF($D$6=0,"",INDIRECT("C"&amp;MOD(ROUNDUP((ROW()-ROW($B$7)+1)/($E$6/$D$6),0)-1,$E$6)+ROW($A$7)))&amp;")","")</f>
        <v/>
      </c>
      <c r="I121" s="65" t="str">
        <f ca="1" t="shared" si="24"/>
        <v/>
      </c>
      <c r="J121" s="65" t="str">
        <f ca="1" t="shared" si="25"/>
        <v/>
      </c>
      <c r="K121" s="65"/>
      <c r="L121" s="65"/>
      <c r="M121" s="126" t="str">
        <f ca="1" t="shared" si="26"/>
        <v/>
      </c>
      <c r="N121" s="126" t="str">
        <f ca="1" t="shared" si="27"/>
        <v/>
      </c>
      <c r="O121" s="103" t="str">
        <f ca="1" t="shared" si="28"/>
        <v/>
      </c>
      <c r="P121" s="103" t="str">
        <f ca="1" t="shared" si="29"/>
        <v/>
      </c>
    </row>
    <row r="122" ht="15" spans="7:16">
      <c r="G122" s="65" t="str">
        <f ca="1" t="shared" si="23"/>
        <v/>
      </c>
      <c r="H122" s="65" t="str">
        <f ca="1">IF(COUNTA($H$5:H121)-1&lt;$E$6,"("&amp;IF($A$6=0,"",INDIRECT("A"&amp;MOD(ROW()-ROW($A$7),$A$6)+ROW($A$7)))&amp;" "&amp;IF($B$6=0,"",INDIRECT("B"&amp;MOD(ROUNDUP((ROW()-ROW($B$7)+1)/$A$6,0)-1,$B$6)+ROW($A$7)))&amp;" "&amp;IF($D$6=0,"",INDIRECT("C"&amp;MOD(ROUNDUP((ROW()-ROW($B$7)+1)/($E$6/$D$6),0)-1,$E$6)+ROW($A$7)))&amp;")","")</f>
        <v/>
      </c>
      <c r="I122" s="65" t="str">
        <f ca="1" t="shared" si="24"/>
        <v/>
      </c>
      <c r="J122" s="65" t="str">
        <f ca="1" t="shared" si="25"/>
        <v/>
      </c>
      <c r="K122" s="65"/>
      <c r="L122" s="65"/>
      <c r="M122" s="126" t="str">
        <f ca="1" t="shared" si="26"/>
        <v/>
      </c>
      <c r="N122" s="126" t="str">
        <f ca="1" t="shared" si="27"/>
        <v/>
      </c>
      <c r="O122" s="103" t="str">
        <f ca="1" t="shared" si="28"/>
        <v/>
      </c>
      <c r="P122" s="103" t="str">
        <f ca="1" t="shared" si="29"/>
        <v/>
      </c>
    </row>
    <row r="123" ht="15" spans="7:16">
      <c r="G123" s="65" t="str">
        <f ca="1" t="shared" si="23"/>
        <v/>
      </c>
      <c r="H123" s="65" t="str">
        <f ca="1">IF(COUNTA($H$5:H122)-1&lt;$E$6,"("&amp;IF($A$6=0,"",INDIRECT("A"&amp;MOD(ROW()-ROW($A$7),$A$6)+ROW($A$7)))&amp;" "&amp;IF($B$6=0,"",INDIRECT("B"&amp;MOD(ROUNDUP((ROW()-ROW($B$7)+1)/$A$6,0)-1,$B$6)+ROW($A$7)))&amp;" "&amp;IF($D$6=0,"",INDIRECT("C"&amp;MOD(ROUNDUP((ROW()-ROW($B$7)+1)/($E$6/$D$6),0)-1,$E$6)+ROW($A$7)))&amp;")","")</f>
        <v/>
      </c>
      <c r="I123" s="65" t="str">
        <f ca="1" t="shared" si="24"/>
        <v/>
      </c>
      <c r="J123" s="65" t="str">
        <f ca="1" t="shared" si="25"/>
        <v/>
      </c>
      <c r="K123" s="65"/>
      <c r="L123" s="65"/>
      <c r="M123" s="126" t="str">
        <f ca="1" t="shared" si="26"/>
        <v/>
      </c>
      <c r="N123" s="126" t="str">
        <f ca="1" t="shared" si="27"/>
        <v/>
      </c>
      <c r="O123" s="103" t="str">
        <f ca="1" t="shared" si="28"/>
        <v/>
      </c>
      <c r="P123" s="103" t="str">
        <f ca="1" t="shared" si="29"/>
        <v/>
      </c>
    </row>
    <row r="124" ht="15" spans="7:16">
      <c r="G124" s="65" t="str">
        <f ca="1" t="shared" si="23"/>
        <v/>
      </c>
      <c r="H124" s="65" t="str">
        <f ca="1">IF(COUNTA($H$5:H123)-1&lt;$E$6,"("&amp;IF($A$6=0,"",INDIRECT("A"&amp;MOD(ROW()-ROW($A$7),$A$6)+ROW($A$7)))&amp;" "&amp;IF($B$6=0,"",INDIRECT("B"&amp;MOD(ROUNDUP((ROW()-ROW($B$7)+1)/$A$6,0)-1,$B$6)+ROW($A$7)))&amp;" "&amp;IF($D$6=0,"",INDIRECT("C"&amp;MOD(ROUNDUP((ROW()-ROW($B$7)+1)/($E$6/$D$6),0)-1,$E$6)+ROW($A$7)))&amp;")","")</f>
        <v/>
      </c>
      <c r="I124" s="65" t="str">
        <f ca="1" t="shared" si="24"/>
        <v/>
      </c>
      <c r="J124" s="65" t="str">
        <f ca="1" t="shared" si="25"/>
        <v/>
      </c>
      <c r="K124" s="65"/>
      <c r="L124" s="65"/>
      <c r="M124" s="126" t="str">
        <f ca="1" t="shared" si="26"/>
        <v/>
      </c>
      <c r="N124" s="126" t="str">
        <f ca="1" t="shared" si="27"/>
        <v/>
      </c>
      <c r="O124" s="103" t="str">
        <f ca="1" t="shared" si="28"/>
        <v/>
      </c>
      <c r="P124" s="103" t="str">
        <f ca="1" t="shared" si="29"/>
        <v/>
      </c>
    </row>
    <row r="125" ht="15" spans="7:16">
      <c r="G125" s="65" t="str">
        <f ca="1" t="shared" si="23"/>
        <v/>
      </c>
      <c r="H125" s="65" t="str">
        <f ca="1">IF(COUNTA($H$5:H124)-1&lt;$E$6,"("&amp;IF($A$6=0,"",INDIRECT("A"&amp;MOD(ROW()-ROW($A$7),$A$6)+ROW($A$7)))&amp;" "&amp;IF($B$6=0,"",INDIRECT("B"&amp;MOD(ROUNDUP((ROW()-ROW($B$7)+1)/$A$6,0)-1,$B$6)+ROW($A$7)))&amp;" "&amp;IF($D$6=0,"",INDIRECT("C"&amp;MOD(ROUNDUP((ROW()-ROW($B$7)+1)/($E$6/$D$6),0)-1,$E$6)+ROW($A$7)))&amp;")","")</f>
        <v/>
      </c>
      <c r="I125" s="65" t="str">
        <f ca="1" t="shared" si="24"/>
        <v/>
      </c>
      <c r="J125" s="65" t="str">
        <f ca="1" t="shared" si="25"/>
        <v/>
      </c>
      <c r="K125" s="65"/>
      <c r="L125" s="65"/>
      <c r="M125" s="126" t="str">
        <f ca="1" t="shared" si="26"/>
        <v/>
      </c>
      <c r="N125" s="126" t="str">
        <f ca="1" t="shared" si="27"/>
        <v/>
      </c>
      <c r="O125" s="103" t="str">
        <f ca="1" t="shared" si="28"/>
        <v/>
      </c>
      <c r="P125" s="103" t="str">
        <f ca="1" t="shared" si="29"/>
        <v/>
      </c>
    </row>
    <row r="126" ht="15" spans="7:16">
      <c r="G126" s="65" t="str">
        <f ca="1" t="shared" si="23"/>
        <v/>
      </c>
      <c r="H126" s="65" t="str">
        <f ca="1">IF(COUNTA($H$5:H125)-1&lt;$E$6,"("&amp;IF($A$6=0,"",INDIRECT("A"&amp;MOD(ROW()-ROW($A$7),$A$6)+ROW($A$7)))&amp;" "&amp;IF($B$6=0,"",INDIRECT("B"&amp;MOD(ROUNDUP((ROW()-ROW($B$7)+1)/$A$6,0)-1,$B$6)+ROW($A$7)))&amp;" "&amp;IF($D$6=0,"",INDIRECT("C"&amp;MOD(ROUNDUP((ROW()-ROW($B$7)+1)/($E$6/$D$6),0)-1,$E$6)+ROW($A$7)))&amp;")","")</f>
        <v/>
      </c>
      <c r="I126" s="65" t="str">
        <f ca="1" t="shared" si="24"/>
        <v/>
      </c>
      <c r="J126" s="65" t="str">
        <f ca="1" t="shared" si="25"/>
        <v/>
      </c>
      <c r="K126" s="65"/>
      <c r="L126" s="65"/>
      <c r="M126" s="126" t="str">
        <f ca="1" t="shared" si="26"/>
        <v/>
      </c>
      <c r="N126" s="126" t="str">
        <f ca="1" t="shared" si="27"/>
        <v/>
      </c>
      <c r="O126" s="103" t="str">
        <f ca="1" t="shared" si="28"/>
        <v/>
      </c>
      <c r="P126" s="103" t="str">
        <f ca="1" t="shared" si="29"/>
        <v/>
      </c>
    </row>
    <row r="127" ht="15" spans="7:16">
      <c r="G127" s="65" t="str">
        <f ca="1" t="shared" si="23"/>
        <v/>
      </c>
      <c r="H127" s="65" t="str">
        <f ca="1">IF(COUNTA($H$5:H126)-1&lt;$E$6,"("&amp;IF($A$6=0,"",INDIRECT("A"&amp;MOD(ROW()-ROW($A$7),$A$6)+ROW($A$7)))&amp;" "&amp;IF($B$6=0,"",INDIRECT("B"&amp;MOD(ROUNDUP((ROW()-ROW($B$7)+1)/$A$6,0)-1,$B$6)+ROW($A$7)))&amp;" "&amp;IF($D$6=0,"",INDIRECT("C"&amp;MOD(ROUNDUP((ROW()-ROW($B$7)+1)/($E$6/$D$6),0)-1,$E$6)+ROW($A$7)))&amp;")","")</f>
        <v/>
      </c>
      <c r="I127" s="65" t="str">
        <f ca="1" t="shared" si="24"/>
        <v/>
      </c>
      <c r="J127" s="65" t="str">
        <f ca="1" t="shared" si="25"/>
        <v/>
      </c>
      <c r="K127" s="65"/>
      <c r="L127" s="65"/>
      <c r="M127" s="126" t="str">
        <f ca="1" t="shared" si="26"/>
        <v/>
      </c>
      <c r="N127" s="126" t="str">
        <f ca="1" t="shared" si="27"/>
        <v/>
      </c>
      <c r="O127" s="103" t="str">
        <f ca="1" t="shared" si="28"/>
        <v/>
      </c>
      <c r="P127" s="103" t="str">
        <f ca="1" t="shared" si="29"/>
        <v/>
      </c>
    </row>
    <row r="128" ht="15" spans="7:16">
      <c r="G128" s="65" t="str">
        <f ca="1" t="shared" si="23"/>
        <v/>
      </c>
      <c r="H128" s="65" t="str">
        <f ca="1">IF(COUNTA($H$5:H127)-1&lt;$E$6,"("&amp;IF($A$6=0,"",INDIRECT("A"&amp;MOD(ROW()-ROW($A$7),$A$6)+ROW($A$7)))&amp;" "&amp;IF($B$6=0,"",INDIRECT("B"&amp;MOD(ROUNDUP((ROW()-ROW($B$7)+1)/$A$6,0)-1,$B$6)+ROW($A$7)))&amp;" "&amp;IF($D$6=0,"",INDIRECT("C"&amp;MOD(ROUNDUP((ROW()-ROW($B$7)+1)/($E$6/$D$6),0)-1,$E$6)+ROW($A$7)))&amp;")","")</f>
        <v/>
      </c>
      <c r="I128" s="65" t="str">
        <f ca="1" t="shared" si="24"/>
        <v/>
      </c>
      <c r="J128" s="65" t="str">
        <f ca="1" t="shared" si="25"/>
        <v/>
      </c>
      <c r="K128" s="65"/>
      <c r="L128" s="65"/>
      <c r="M128" s="126" t="str">
        <f ca="1" t="shared" si="26"/>
        <v/>
      </c>
      <c r="N128" s="126" t="str">
        <f ca="1" t="shared" si="27"/>
        <v/>
      </c>
      <c r="O128" s="103" t="str">
        <f ca="1" t="shared" si="28"/>
        <v/>
      </c>
      <c r="P128" s="103" t="str">
        <f ca="1" t="shared" si="29"/>
        <v/>
      </c>
    </row>
    <row r="129" ht="15" spans="7:16">
      <c r="G129" s="65" t="str">
        <f ca="1" t="shared" si="23"/>
        <v/>
      </c>
      <c r="H129" s="65" t="str">
        <f ca="1">IF(COUNTA($H$5:H128)-1&lt;$E$6,"("&amp;IF($A$6=0,"",INDIRECT("A"&amp;MOD(ROW()-ROW($A$7),$A$6)+ROW($A$7)))&amp;" "&amp;IF($B$6=0,"",INDIRECT("B"&amp;MOD(ROUNDUP((ROW()-ROW($B$7)+1)/$A$6,0)-1,$B$6)+ROW($A$7)))&amp;" "&amp;IF($D$6=0,"",INDIRECT("C"&amp;MOD(ROUNDUP((ROW()-ROW($B$7)+1)/($E$6/$D$6),0)-1,$E$6)+ROW($A$7)))&amp;")","")</f>
        <v/>
      </c>
      <c r="I129" s="65" t="str">
        <f ca="1" t="shared" si="24"/>
        <v/>
      </c>
      <c r="J129" s="65" t="str">
        <f ca="1" t="shared" si="25"/>
        <v/>
      </c>
      <c r="K129" s="65"/>
      <c r="L129" s="65"/>
      <c r="M129" s="126" t="str">
        <f ca="1" t="shared" si="26"/>
        <v/>
      </c>
      <c r="N129" s="126" t="str">
        <f ca="1" t="shared" si="27"/>
        <v/>
      </c>
      <c r="O129" s="103" t="str">
        <f ca="1" t="shared" si="28"/>
        <v/>
      </c>
      <c r="P129" s="103" t="str">
        <f ca="1" t="shared" si="29"/>
        <v/>
      </c>
    </row>
    <row r="130" ht="15" spans="7:16">
      <c r="G130" s="65" t="str">
        <f ca="1" t="shared" si="23"/>
        <v/>
      </c>
      <c r="H130" s="65" t="str">
        <f ca="1">IF(COUNTA($H$5:H129)-1&lt;$E$6,"("&amp;IF($A$6=0,"",INDIRECT("A"&amp;MOD(ROW()-ROW($A$7),$A$6)+ROW($A$7)))&amp;" "&amp;IF($B$6=0,"",INDIRECT("B"&amp;MOD(ROUNDUP((ROW()-ROW($B$7)+1)/$A$6,0)-1,$B$6)+ROW($A$7)))&amp;" "&amp;IF($D$6=0,"",INDIRECT("C"&amp;MOD(ROUNDUP((ROW()-ROW($B$7)+1)/($E$6/$D$6),0)-1,$E$6)+ROW($A$7)))&amp;")","")</f>
        <v/>
      </c>
      <c r="I130" s="65" t="str">
        <f ca="1" t="shared" si="24"/>
        <v/>
      </c>
      <c r="J130" s="65" t="str">
        <f ca="1" t="shared" si="25"/>
        <v/>
      </c>
      <c r="K130" s="65"/>
      <c r="L130" s="65"/>
      <c r="M130" s="126" t="str">
        <f ca="1" t="shared" si="26"/>
        <v/>
      </c>
      <c r="N130" s="126" t="str">
        <f ca="1" t="shared" si="27"/>
        <v/>
      </c>
      <c r="O130" s="103" t="str">
        <f ca="1" t="shared" si="28"/>
        <v/>
      </c>
      <c r="P130" s="103" t="str">
        <f ca="1" t="shared" si="29"/>
        <v/>
      </c>
    </row>
    <row r="131" ht="15" spans="7:16">
      <c r="G131" s="65" t="str">
        <f ca="1" t="shared" si="23"/>
        <v/>
      </c>
      <c r="H131" s="65" t="str">
        <f ca="1">IF(COUNTA($H$5:H130)-1&lt;$E$6,"("&amp;IF($A$6=0,"",INDIRECT("A"&amp;MOD(ROW()-ROW($A$7),$A$6)+ROW($A$7)))&amp;" "&amp;IF($B$6=0,"",INDIRECT("B"&amp;MOD(ROUNDUP((ROW()-ROW($B$7)+1)/$A$6,0)-1,$B$6)+ROW($A$7)))&amp;" "&amp;IF($D$6=0,"",INDIRECT("C"&amp;MOD(ROUNDUP((ROW()-ROW($B$7)+1)/($E$6/$D$6),0)-1,$E$6)+ROW($A$7)))&amp;")","")</f>
        <v/>
      </c>
      <c r="I131" s="65" t="str">
        <f ca="1" t="shared" si="24"/>
        <v/>
      </c>
      <c r="J131" s="65" t="str">
        <f ca="1" t="shared" si="25"/>
        <v/>
      </c>
      <c r="K131" s="65"/>
      <c r="L131" s="65"/>
      <c r="M131" s="126" t="str">
        <f ca="1" t="shared" si="26"/>
        <v/>
      </c>
      <c r="N131" s="126" t="str">
        <f ca="1" t="shared" si="27"/>
        <v/>
      </c>
      <c r="O131" s="103" t="str">
        <f ca="1" t="shared" si="28"/>
        <v/>
      </c>
      <c r="P131" s="103" t="str">
        <f ca="1" t="shared" si="29"/>
        <v/>
      </c>
    </row>
    <row r="132" ht="15" spans="7:16">
      <c r="G132" s="65" t="str">
        <f ca="1" t="shared" si="23"/>
        <v/>
      </c>
      <c r="H132" s="65" t="str">
        <f ca="1">IF(COUNTA($H$5:H131)-1&lt;$E$6,"("&amp;IF($A$6=0,"",INDIRECT("A"&amp;MOD(ROW()-ROW($A$7),$A$6)+ROW($A$7)))&amp;" "&amp;IF($B$6=0,"",INDIRECT("B"&amp;MOD(ROUNDUP((ROW()-ROW($B$7)+1)/$A$6,0)-1,$B$6)+ROW($A$7)))&amp;" "&amp;IF($D$6=0,"",INDIRECT("C"&amp;MOD(ROUNDUP((ROW()-ROW($B$7)+1)/($E$6/$D$6),0)-1,$E$6)+ROW($A$7)))&amp;")","")</f>
        <v/>
      </c>
      <c r="I132" s="65" t="str">
        <f ca="1" t="shared" si="24"/>
        <v/>
      </c>
      <c r="J132" s="65" t="str">
        <f ca="1" t="shared" si="25"/>
        <v/>
      </c>
      <c r="K132" s="65"/>
      <c r="L132" s="65"/>
      <c r="M132" s="126" t="str">
        <f ca="1" t="shared" si="26"/>
        <v/>
      </c>
      <c r="N132" s="126" t="str">
        <f ca="1" t="shared" si="27"/>
        <v/>
      </c>
      <c r="O132" s="103" t="str">
        <f ca="1" t="shared" si="28"/>
        <v/>
      </c>
      <c r="P132" s="103" t="str">
        <f ca="1" t="shared" si="29"/>
        <v/>
      </c>
    </row>
    <row r="133" ht="15" spans="7:16">
      <c r="G133" s="65" t="str">
        <f ca="1" t="shared" si="23"/>
        <v/>
      </c>
      <c r="H133" s="65" t="str">
        <f ca="1">IF(COUNTA($H$5:H132)-1&lt;$E$6,"("&amp;IF($A$6=0,"",INDIRECT("A"&amp;MOD(ROW()-ROW($A$7),$A$6)+ROW($A$7)))&amp;" "&amp;IF($B$6=0,"",INDIRECT("B"&amp;MOD(ROUNDUP((ROW()-ROW($B$7)+1)/$A$6,0)-1,$B$6)+ROW($A$7)))&amp;" "&amp;IF($D$6=0,"",INDIRECT("C"&amp;MOD(ROUNDUP((ROW()-ROW($B$7)+1)/($E$6/$D$6),0)-1,$E$6)+ROW($A$7)))&amp;")","")</f>
        <v/>
      </c>
      <c r="I133" s="65" t="str">
        <f ca="1" t="shared" si="24"/>
        <v/>
      </c>
      <c r="J133" s="65" t="str">
        <f ca="1" t="shared" si="25"/>
        <v/>
      </c>
      <c r="K133" s="65"/>
      <c r="L133" s="65"/>
      <c r="M133" s="126" t="str">
        <f ca="1" t="shared" si="26"/>
        <v/>
      </c>
      <c r="N133" s="126" t="str">
        <f ca="1" t="shared" si="27"/>
        <v/>
      </c>
      <c r="O133" s="103" t="str">
        <f ca="1" t="shared" si="28"/>
        <v/>
      </c>
      <c r="P133" s="103" t="str">
        <f ca="1" t="shared" si="29"/>
        <v/>
      </c>
    </row>
    <row r="134" ht="15" spans="7:16">
      <c r="G134" s="65" t="str">
        <f ca="1" t="shared" si="23"/>
        <v/>
      </c>
      <c r="H134" s="65" t="str">
        <f ca="1">IF(COUNTA($H$5:H133)-1&lt;$E$6,"("&amp;IF($A$6=0,"",INDIRECT("A"&amp;MOD(ROW()-ROW($A$7),$A$6)+ROW($A$7)))&amp;" "&amp;IF($B$6=0,"",INDIRECT("B"&amp;MOD(ROUNDUP((ROW()-ROW($B$7)+1)/$A$6,0)-1,$B$6)+ROW($A$7)))&amp;" "&amp;IF($D$6=0,"",INDIRECT("C"&amp;MOD(ROUNDUP((ROW()-ROW($B$7)+1)/($E$6/$D$6),0)-1,$E$6)+ROW($A$7)))&amp;")","")</f>
        <v/>
      </c>
      <c r="I134" s="65" t="str">
        <f ca="1" t="shared" si="24"/>
        <v/>
      </c>
      <c r="J134" s="65" t="str">
        <f ca="1" t="shared" si="25"/>
        <v/>
      </c>
      <c r="K134" s="65"/>
      <c r="L134" s="65"/>
      <c r="M134" s="126" t="str">
        <f ca="1" t="shared" si="26"/>
        <v/>
      </c>
      <c r="N134" s="126" t="str">
        <f ca="1" t="shared" si="27"/>
        <v/>
      </c>
      <c r="O134" s="103" t="str">
        <f ca="1" t="shared" si="28"/>
        <v/>
      </c>
      <c r="P134" s="103" t="str">
        <f ca="1" t="shared" si="29"/>
        <v/>
      </c>
    </row>
    <row r="135" ht="15" spans="7:16">
      <c r="G135" s="65" t="str">
        <f ca="1" t="shared" si="23"/>
        <v/>
      </c>
      <c r="H135" s="65" t="str">
        <f ca="1">IF(COUNTA($H$5:H134)-1&lt;$E$6,"("&amp;IF($A$6=0,"",INDIRECT("A"&amp;MOD(ROW()-ROW($A$7),$A$6)+ROW($A$7)))&amp;" "&amp;IF($B$6=0,"",INDIRECT("B"&amp;MOD(ROUNDUP((ROW()-ROW($B$7)+1)/$A$6,0)-1,$B$6)+ROW($A$7)))&amp;" "&amp;IF($D$6=0,"",INDIRECT("C"&amp;MOD(ROUNDUP((ROW()-ROW($B$7)+1)/($E$6/$D$6),0)-1,$E$6)+ROW($A$7)))&amp;")","")</f>
        <v/>
      </c>
      <c r="I135" s="65" t="str">
        <f ca="1" t="shared" si="24"/>
        <v/>
      </c>
      <c r="J135" s="65" t="str">
        <f ca="1" t="shared" si="25"/>
        <v/>
      </c>
      <c r="K135" s="65"/>
      <c r="L135" s="65"/>
      <c r="M135" s="126" t="str">
        <f ca="1" t="shared" si="26"/>
        <v/>
      </c>
      <c r="N135" s="126" t="str">
        <f ca="1" t="shared" si="27"/>
        <v/>
      </c>
      <c r="O135" s="103" t="str">
        <f ca="1" t="shared" si="28"/>
        <v/>
      </c>
      <c r="P135" s="103" t="str">
        <f ca="1" t="shared" si="29"/>
        <v/>
      </c>
    </row>
    <row r="136" ht="15" spans="7:16">
      <c r="G136" s="65" t="str">
        <f ca="1" t="shared" si="23"/>
        <v/>
      </c>
      <c r="H136" s="65" t="str">
        <f ca="1">IF(COUNTA($H$5:H135)-1&lt;$E$6,"("&amp;IF($A$6=0,"",INDIRECT("A"&amp;MOD(ROW()-ROW($A$7),$A$6)+ROW($A$7)))&amp;" "&amp;IF($B$6=0,"",INDIRECT("B"&amp;MOD(ROUNDUP((ROW()-ROW($B$7)+1)/$A$6,0)-1,$B$6)+ROW($A$7)))&amp;" "&amp;IF($D$6=0,"",INDIRECT("C"&amp;MOD(ROUNDUP((ROW()-ROW($B$7)+1)/($E$6/$D$6),0)-1,$E$6)+ROW($A$7)))&amp;")","")</f>
        <v/>
      </c>
      <c r="I136" s="65" t="str">
        <f ca="1" t="shared" si="24"/>
        <v/>
      </c>
      <c r="J136" s="65" t="str">
        <f ca="1" t="shared" si="25"/>
        <v/>
      </c>
      <c r="K136" s="65"/>
      <c r="L136" s="65"/>
      <c r="M136" s="126" t="str">
        <f ca="1" t="shared" si="26"/>
        <v/>
      </c>
      <c r="N136" s="126" t="str">
        <f ca="1" t="shared" si="27"/>
        <v/>
      </c>
      <c r="O136" s="103" t="str">
        <f ca="1" t="shared" si="28"/>
        <v/>
      </c>
      <c r="P136" s="103" t="str">
        <f ca="1" t="shared" si="29"/>
        <v/>
      </c>
    </row>
    <row r="137" ht="15" spans="7:16">
      <c r="G137" s="65" t="str">
        <f ca="1" t="shared" si="23"/>
        <v/>
      </c>
      <c r="H137" s="65" t="str">
        <f ca="1">IF(COUNTA($H$5:H136)-1&lt;$E$6,"("&amp;IF($A$6=0,"",INDIRECT("A"&amp;MOD(ROW()-ROW($A$7),$A$6)+ROW($A$7)))&amp;" "&amp;IF($B$6=0,"",INDIRECT("B"&amp;MOD(ROUNDUP((ROW()-ROW($B$7)+1)/$A$6,0)-1,$B$6)+ROW($A$7)))&amp;" "&amp;IF($D$6=0,"",INDIRECT("C"&amp;MOD(ROUNDUP((ROW()-ROW($B$7)+1)/($E$6/$D$6),0)-1,$E$6)+ROW($A$7)))&amp;")","")</f>
        <v/>
      </c>
      <c r="I137" s="65" t="str">
        <f ca="1" t="shared" si="24"/>
        <v/>
      </c>
      <c r="J137" s="65" t="str">
        <f ca="1" t="shared" si="25"/>
        <v/>
      </c>
      <c r="K137" s="65"/>
      <c r="L137" s="65"/>
      <c r="M137" s="126" t="str">
        <f ca="1" t="shared" si="26"/>
        <v/>
      </c>
      <c r="N137" s="126" t="str">
        <f ca="1" t="shared" si="27"/>
        <v/>
      </c>
      <c r="O137" s="103" t="str">
        <f ca="1" t="shared" si="28"/>
        <v/>
      </c>
      <c r="P137" s="103" t="str">
        <f ca="1" t="shared" si="29"/>
        <v/>
      </c>
    </row>
    <row r="138" ht="15" spans="7:16">
      <c r="G138" s="65" t="str">
        <f ca="1" t="shared" si="23"/>
        <v/>
      </c>
      <c r="H138" s="65" t="str">
        <f ca="1">IF(COUNTA($H$5:H137)-1&lt;$E$6,"("&amp;IF($A$6=0,"",INDIRECT("A"&amp;MOD(ROW()-ROW($A$7),$A$6)+ROW($A$7)))&amp;" "&amp;IF($B$6=0,"",INDIRECT("B"&amp;MOD(ROUNDUP((ROW()-ROW($B$7)+1)/$A$6,0)-1,$B$6)+ROW($A$7)))&amp;" "&amp;IF($D$6=0,"",INDIRECT("C"&amp;MOD(ROUNDUP((ROW()-ROW($B$7)+1)/($E$6/$D$6),0)-1,$E$6)+ROW($A$7)))&amp;")","")</f>
        <v/>
      </c>
      <c r="I138" s="65" t="str">
        <f ca="1" t="shared" si="24"/>
        <v/>
      </c>
      <c r="J138" s="65" t="str">
        <f ca="1" t="shared" si="25"/>
        <v/>
      </c>
      <c r="K138" s="65"/>
      <c r="L138" s="65"/>
      <c r="M138" s="126" t="str">
        <f ca="1" t="shared" si="26"/>
        <v/>
      </c>
      <c r="N138" s="126" t="str">
        <f ca="1" t="shared" si="27"/>
        <v/>
      </c>
      <c r="O138" s="103" t="str">
        <f ca="1" t="shared" si="28"/>
        <v/>
      </c>
      <c r="P138" s="103" t="str">
        <f ca="1" t="shared" si="29"/>
        <v/>
      </c>
    </row>
    <row r="139" ht="15" spans="7:16">
      <c r="G139" s="65" t="str">
        <f ca="1" t="shared" si="23"/>
        <v/>
      </c>
      <c r="H139" s="65" t="str">
        <f ca="1">IF(COUNTA($H$5:H138)-1&lt;$E$6,"("&amp;IF($A$6=0,"",INDIRECT("A"&amp;MOD(ROW()-ROW($A$7),$A$6)+ROW($A$7)))&amp;" "&amp;IF($B$6=0,"",INDIRECT("B"&amp;MOD(ROUNDUP((ROW()-ROW($B$7)+1)/$A$6,0)-1,$B$6)+ROW($A$7)))&amp;" "&amp;IF($D$6=0,"",INDIRECT("C"&amp;MOD(ROUNDUP((ROW()-ROW($B$7)+1)/($E$6/$D$6),0)-1,$E$6)+ROW($A$7)))&amp;")","")</f>
        <v/>
      </c>
      <c r="I139" s="65" t="str">
        <f ca="1" t="shared" si="24"/>
        <v/>
      </c>
      <c r="J139" s="65" t="str">
        <f ca="1" t="shared" si="25"/>
        <v/>
      </c>
      <c r="K139" s="65"/>
      <c r="L139" s="65"/>
      <c r="M139" s="126" t="str">
        <f ca="1" t="shared" si="26"/>
        <v/>
      </c>
      <c r="N139" s="126" t="str">
        <f ca="1" t="shared" si="27"/>
        <v/>
      </c>
      <c r="O139" s="103" t="str">
        <f ca="1" t="shared" si="28"/>
        <v/>
      </c>
      <c r="P139" s="103" t="str">
        <f ca="1" t="shared" si="29"/>
        <v/>
      </c>
    </row>
    <row r="140" ht="15" spans="7:16">
      <c r="G140" s="65" t="str">
        <f ca="1" t="shared" si="23"/>
        <v/>
      </c>
      <c r="H140" s="65" t="str">
        <f ca="1">IF(COUNTA($H$5:H139)-1&lt;$E$6,"("&amp;IF($A$6=0,"",INDIRECT("A"&amp;MOD(ROW()-ROW($A$7),$A$6)+ROW($A$7)))&amp;" "&amp;IF($B$6=0,"",INDIRECT("B"&amp;MOD(ROUNDUP((ROW()-ROW($B$7)+1)/$A$6,0)-1,$B$6)+ROW($A$7)))&amp;" "&amp;IF($D$6=0,"",INDIRECT("C"&amp;MOD(ROUNDUP((ROW()-ROW($B$7)+1)/($E$6/$D$6),0)-1,$E$6)+ROW($A$7)))&amp;")","")</f>
        <v/>
      </c>
      <c r="I140" s="65" t="str">
        <f ca="1" t="shared" si="24"/>
        <v/>
      </c>
      <c r="J140" s="65" t="str">
        <f ca="1" t="shared" si="25"/>
        <v/>
      </c>
      <c r="K140" s="65"/>
      <c r="L140" s="65"/>
      <c r="M140" s="126" t="str">
        <f ca="1" t="shared" si="26"/>
        <v/>
      </c>
      <c r="N140" s="126" t="str">
        <f ca="1" t="shared" si="27"/>
        <v/>
      </c>
      <c r="O140" s="103" t="str">
        <f ca="1" t="shared" si="28"/>
        <v/>
      </c>
      <c r="P140" s="103" t="str">
        <f ca="1" t="shared" si="29"/>
        <v/>
      </c>
    </row>
    <row r="141" ht="15" spans="7:16">
      <c r="G141" s="65" t="str">
        <f ca="1" t="shared" si="23"/>
        <v/>
      </c>
      <c r="H141" s="65" t="str">
        <f ca="1">IF(COUNTA($H$5:H140)-1&lt;$E$6,"("&amp;IF($A$6=0,"",INDIRECT("A"&amp;MOD(ROW()-ROW($A$7),$A$6)+ROW($A$7)))&amp;" "&amp;IF($B$6=0,"",INDIRECT("B"&amp;MOD(ROUNDUP((ROW()-ROW($B$7)+1)/$A$6,0)-1,$B$6)+ROW($A$7)))&amp;" "&amp;IF($D$6=0,"",INDIRECT("C"&amp;MOD(ROUNDUP((ROW()-ROW($B$7)+1)/($E$6/$D$6),0)-1,$E$6)+ROW($A$7)))&amp;")","")</f>
        <v/>
      </c>
      <c r="I141" s="65" t="str">
        <f ca="1" t="shared" si="24"/>
        <v/>
      </c>
      <c r="J141" s="65" t="str">
        <f ca="1" t="shared" si="25"/>
        <v/>
      </c>
      <c r="K141" s="65"/>
      <c r="L141" s="65"/>
      <c r="M141" s="126" t="str">
        <f ca="1" t="shared" si="26"/>
        <v/>
      </c>
      <c r="N141" s="126" t="str">
        <f ca="1" t="shared" si="27"/>
        <v/>
      </c>
      <c r="O141" s="103" t="str">
        <f ca="1" t="shared" si="28"/>
        <v/>
      </c>
      <c r="P141" s="103" t="str">
        <f ca="1" t="shared" si="29"/>
        <v/>
      </c>
    </row>
    <row r="142" ht="15" spans="7:16">
      <c r="G142" s="65" t="str">
        <f ca="1" t="shared" ref="G142:G158" si="30">IF(AND(0=$B$6,$A$5&gt;0),IF($H142="","",$G$6&amp;"-"&amp;O142),IF(OR($H142="",$C$6=0),"",$G$6&amp;"-"&amp;VLOOKUP(M142,B:C,2,FALSE)&amp;"-"&amp;O142))</f>
        <v/>
      </c>
      <c r="H142" s="65" t="str">
        <f ca="1">IF(COUNTA($H$5:H141)-1&lt;$E$6,"("&amp;IF($A$6=0,"",INDIRECT("A"&amp;MOD(ROW()-ROW($A$7),$A$6)+ROW($A$7)))&amp;" "&amp;IF($B$6=0,"",INDIRECT("B"&amp;MOD(ROUNDUP((ROW()-ROW($B$7)+1)/$A$6,0)-1,$B$6)+ROW($A$7)))&amp;" "&amp;IF($D$6=0,"",INDIRECT("C"&amp;MOD(ROUNDUP((ROW()-ROW($B$7)+1)/($E$6/$D$6),0)-1,$E$6)+ROW($A$7)))&amp;")","")</f>
        <v/>
      </c>
      <c r="I142" s="65" t="str">
        <f ca="1" t="shared" ref="I142:I158" si="31">IF(H142="","",COUNTIF($H$7:$H$105,H142))</f>
        <v/>
      </c>
      <c r="J142" s="65" t="str">
        <f ca="1" t="shared" ref="J142:J158" si="32">IF(OR(H142="",$G$1=""),"",$B$3&amp;$G$1&amp;H142)</f>
        <v/>
      </c>
      <c r="K142" s="65"/>
      <c r="L142" s="65"/>
      <c r="M142" s="126" t="str">
        <f ca="1" t="shared" ref="M142:M158" si="33">IF(OR($H142="",$B$6=0),"",INDIRECT("B"&amp;MOD(ROUNDUP((ROW()-ROW($B$7)+1)/$A$6,0)-1,$B$6)+ROW($A$7)))</f>
        <v/>
      </c>
      <c r="N142" s="126" t="str">
        <f ca="1" t="shared" ref="N142:N158" si="34">M142</f>
        <v/>
      </c>
      <c r="O142" s="103" t="str">
        <f ca="1" t="shared" ref="O142:O158" si="35">IF(H142="","",IF($A$6=0,"",INDIRECT("A"&amp;MOD(ROW()-ROW($A$7),$A$6)+ROW($A$7))))</f>
        <v/>
      </c>
      <c r="P142" s="103" t="str">
        <f ca="1" t="shared" ref="P142:P158" si="36">IF(O142="","",IF($P$3="否",O142,O142&amp;"cm"))</f>
        <v/>
      </c>
    </row>
    <row r="143" ht="15" spans="7:16">
      <c r="G143" s="65" t="str">
        <f ca="1" t="shared" si="30"/>
        <v/>
      </c>
      <c r="H143" s="65" t="str">
        <f ca="1">IF(COUNTA($H$5:H142)-1&lt;$E$6,"("&amp;IF($A$6=0,"",INDIRECT("A"&amp;MOD(ROW()-ROW($A$7),$A$6)+ROW($A$7)))&amp;" "&amp;IF($B$6=0,"",INDIRECT("B"&amp;MOD(ROUNDUP((ROW()-ROW($B$7)+1)/$A$6,0)-1,$B$6)+ROW($A$7)))&amp;" "&amp;IF($D$6=0,"",INDIRECT("C"&amp;MOD(ROUNDUP((ROW()-ROW($B$7)+1)/($E$6/$D$6),0)-1,$E$6)+ROW($A$7)))&amp;")","")</f>
        <v/>
      </c>
      <c r="I143" s="65" t="str">
        <f ca="1" t="shared" si="31"/>
        <v/>
      </c>
      <c r="J143" s="65" t="str">
        <f ca="1" t="shared" si="32"/>
        <v/>
      </c>
      <c r="K143" s="65"/>
      <c r="L143" s="65"/>
      <c r="M143" s="126" t="str">
        <f ca="1" t="shared" si="33"/>
        <v/>
      </c>
      <c r="N143" s="126" t="str">
        <f ca="1" t="shared" si="34"/>
        <v/>
      </c>
      <c r="O143" s="103" t="str">
        <f ca="1" t="shared" si="35"/>
        <v/>
      </c>
      <c r="P143" s="103" t="str">
        <f ca="1" t="shared" si="36"/>
        <v/>
      </c>
    </row>
    <row r="144" ht="15" spans="7:16">
      <c r="G144" s="65" t="str">
        <f ca="1" t="shared" si="30"/>
        <v/>
      </c>
      <c r="H144" s="65" t="str">
        <f ca="1">IF(COUNTA($H$5:H143)-1&lt;$E$6,"("&amp;IF($A$6=0,"",INDIRECT("A"&amp;MOD(ROW()-ROW($A$7),$A$6)+ROW($A$7)))&amp;" "&amp;IF($B$6=0,"",INDIRECT("B"&amp;MOD(ROUNDUP((ROW()-ROW($B$7)+1)/$A$6,0)-1,$B$6)+ROW($A$7)))&amp;" "&amp;IF($D$6=0,"",INDIRECT("C"&amp;MOD(ROUNDUP((ROW()-ROW($B$7)+1)/($E$6/$D$6),0)-1,$E$6)+ROW($A$7)))&amp;")","")</f>
        <v/>
      </c>
      <c r="I144" s="65" t="str">
        <f ca="1" t="shared" si="31"/>
        <v/>
      </c>
      <c r="J144" s="65" t="str">
        <f ca="1" t="shared" si="32"/>
        <v/>
      </c>
      <c r="K144" s="65"/>
      <c r="L144" s="65"/>
      <c r="M144" s="126" t="str">
        <f ca="1" t="shared" si="33"/>
        <v/>
      </c>
      <c r="N144" s="126" t="str">
        <f ca="1" t="shared" si="34"/>
        <v/>
      </c>
      <c r="O144" s="103" t="str">
        <f ca="1" t="shared" si="35"/>
        <v/>
      </c>
      <c r="P144" s="103" t="str">
        <f ca="1" t="shared" si="36"/>
        <v/>
      </c>
    </row>
    <row r="145" ht="15" spans="7:16">
      <c r="G145" s="65" t="str">
        <f ca="1" t="shared" si="30"/>
        <v/>
      </c>
      <c r="H145" s="65" t="str">
        <f ca="1">IF(COUNTA($H$5:H144)-1&lt;$E$6,"("&amp;IF($A$6=0,"",INDIRECT("A"&amp;MOD(ROW()-ROW($A$7),$A$6)+ROW($A$7)))&amp;" "&amp;IF($B$6=0,"",INDIRECT("B"&amp;MOD(ROUNDUP((ROW()-ROW($B$7)+1)/$A$6,0)-1,$B$6)+ROW($A$7)))&amp;" "&amp;IF($D$6=0,"",INDIRECT("C"&amp;MOD(ROUNDUP((ROW()-ROW($B$7)+1)/($E$6/$D$6),0)-1,$E$6)+ROW($A$7)))&amp;")","")</f>
        <v/>
      </c>
      <c r="I145" s="65" t="str">
        <f ca="1" t="shared" si="31"/>
        <v/>
      </c>
      <c r="J145" s="65" t="str">
        <f ca="1" t="shared" si="32"/>
        <v/>
      </c>
      <c r="K145" s="65"/>
      <c r="L145" s="65"/>
      <c r="M145" s="126" t="str">
        <f ca="1" t="shared" si="33"/>
        <v/>
      </c>
      <c r="N145" s="126" t="str">
        <f ca="1" t="shared" si="34"/>
        <v/>
      </c>
      <c r="O145" s="103" t="str">
        <f ca="1" t="shared" si="35"/>
        <v/>
      </c>
      <c r="P145" s="103" t="str">
        <f ca="1" t="shared" si="36"/>
        <v/>
      </c>
    </row>
    <row r="146" ht="15" spans="7:16">
      <c r="G146" s="65" t="str">
        <f ca="1" t="shared" si="30"/>
        <v/>
      </c>
      <c r="H146" s="65" t="str">
        <f ca="1">IF(COUNTA($H$5:H145)-1&lt;$E$6,"("&amp;IF($A$6=0,"",INDIRECT("A"&amp;MOD(ROW()-ROW($A$7),$A$6)+ROW($A$7)))&amp;" "&amp;IF($B$6=0,"",INDIRECT("B"&amp;MOD(ROUNDUP((ROW()-ROW($B$7)+1)/$A$6,0)-1,$B$6)+ROW($A$7)))&amp;" "&amp;IF($D$6=0,"",INDIRECT("C"&amp;MOD(ROUNDUP((ROW()-ROW($B$7)+1)/($E$6/$D$6),0)-1,$E$6)+ROW($A$7)))&amp;")","")</f>
        <v/>
      </c>
      <c r="I146" s="65" t="str">
        <f ca="1" t="shared" si="31"/>
        <v/>
      </c>
      <c r="J146" s="65" t="str">
        <f ca="1" t="shared" si="32"/>
        <v/>
      </c>
      <c r="K146" s="65"/>
      <c r="L146" s="65"/>
      <c r="M146" s="126" t="str">
        <f ca="1" t="shared" si="33"/>
        <v/>
      </c>
      <c r="N146" s="126" t="str">
        <f ca="1" t="shared" si="34"/>
        <v/>
      </c>
      <c r="O146" s="103" t="str">
        <f ca="1" t="shared" si="35"/>
        <v/>
      </c>
      <c r="P146" s="103" t="str">
        <f ca="1" t="shared" si="36"/>
        <v/>
      </c>
    </row>
    <row r="147" ht="15" spans="7:16">
      <c r="G147" s="65" t="str">
        <f ca="1" t="shared" si="30"/>
        <v/>
      </c>
      <c r="H147" s="65" t="str">
        <f ca="1">IF(COUNTA($H$5:H146)-1&lt;$E$6,"("&amp;IF($A$6=0,"",INDIRECT("A"&amp;MOD(ROW()-ROW($A$7),$A$6)+ROW($A$7)))&amp;" "&amp;IF($B$6=0,"",INDIRECT("B"&amp;MOD(ROUNDUP((ROW()-ROW($B$7)+1)/$A$6,0)-1,$B$6)+ROW($A$7)))&amp;" "&amp;IF($D$6=0,"",INDIRECT("C"&amp;MOD(ROUNDUP((ROW()-ROW($B$7)+1)/($E$6/$D$6),0)-1,$E$6)+ROW($A$7)))&amp;")","")</f>
        <v/>
      </c>
      <c r="I147" s="65" t="str">
        <f ca="1" t="shared" si="31"/>
        <v/>
      </c>
      <c r="J147" s="65" t="str">
        <f ca="1" t="shared" si="32"/>
        <v/>
      </c>
      <c r="K147" s="65"/>
      <c r="L147" s="65"/>
      <c r="M147" s="126" t="str">
        <f ca="1" t="shared" si="33"/>
        <v/>
      </c>
      <c r="N147" s="126" t="str">
        <f ca="1" t="shared" si="34"/>
        <v/>
      </c>
      <c r="O147" s="103" t="str">
        <f ca="1" t="shared" si="35"/>
        <v/>
      </c>
      <c r="P147" s="103" t="str">
        <f ca="1" t="shared" si="36"/>
        <v/>
      </c>
    </row>
    <row r="148" ht="15" spans="7:16">
      <c r="G148" s="65" t="str">
        <f ca="1" t="shared" si="30"/>
        <v/>
      </c>
      <c r="H148" s="65" t="str">
        <f ca="1">IF(COUNTA($H$5:H147)-1&lt;$E$6,"("&amp;IF($A$6=0,"",INDIRECT("A"&amp;MOD(ROW()-ROW($A$7),$A$6)+ROW($A$7)))&amp;" "&amp;IF($B$6=0,"",INDIRECT("B"&amp;MOD(ROUNDUP((ROW()-ROW($B$7)+1)/$A$6,0)-1,$B$6)+ROW($A$7)))&amp;" "&amp;IF($D$6=0,"",INDIRECT("C"&amp;MOD(ROUNDUP((ROW()-ROW($B$7)+1)/($E$6/$D$6),0)-1,$E$6)+ROW($A$7)))&amp;")","")</f>
        <v/>
      </c>
      <c r="I148" s="65" t="str">
        <f ca="1" t="shared" si="31"/>
        <v/>
      </c>
      <c r="J148" s="65" t="str">
        <f ca="1" t="shared" si="32"/>
        <v/>
      </c>
      <c r="K148" s="65"/>
      <c r="L148" s="65"/>
      <c r="M148" s="126" t="str">
        <f ca="1" t="shared" si="33"/>
        <v/>
      </c>
      <c r="N148" s="126" t="str">
        <f ca="1" t="shared" si="34"/>
        <v/>
      </c>
      <c r="O148" s="103" t="str">
        <f ca="1" t="shared" si="35"/>
        <v/>
      </c>
      <c r="P148" s="103" t="str">
        <f ca="1" t="shared" si="36"/>
        <v/>
      </c>
    </row>
    <row r="149" ht="15" spans="7:16">
      <c r="G149" s="65" t="str">
        <f ca="1" t="shared" si="30"/>
        <v/>
      </c>
      <c r="H149" s="65" t="str">
        <f ca="1">IF(COUNTA($H$5:H148)-1&lt;$E$6,"("&amp;IF($A$6=0,"",INDIRECT("A"&amp;MOD(ROW()-ROW($A$7),$A$6)+ROW($A$7)))&amp;" "&amp;IF($B$6=0,"",INDIRECT("B"&amp;MOD(ROUNDUP((ROW()-ROW($B$7)+1)/$A$6,0)-1,$B$6)+ROW($A$7)))&amp;" "&amp;IF($D$6=0,"",INDIRECT("C"&amp;MOD(ROUNDUP((ROW()-ROW($B$7)+1)/($E$6/$D$6),0)-1,$E$6)+ROW($A$7)))&amp;")","")</f>
        <v/>
      </c>
      <c r="I149" s="65" t="str">
        <f ca="1" t="shared" si="31"/>
        <v/>
      </c>
      <c r="J149" s="65" t="str">
        <f ca="1" t="shared" si="32"/>
        <v/>
      </c>
      <c r="K149" s="65"/>
      <c r="L149" s="65"/>
      <c r="M149" s="126" t="str">
        <f ca="1" t="shared" si="33"/>
        <v/>
      </c>
      <c r="N149" s="126" t="str">
        <f ca="1" t="shared" si="34"/>
        <v/>
      </c>
      <c r="O149" s="103" t="str">
        <f ca="1" t="shared" si="35"/>
        <v/>
      </c>
      <c r="P149" s="103" t="str">
        <f ca="1" t="shared" si="36"/>
        <v/>
      </c>
    </row>
    <row r="150" ht="15" spans="7:16">
      <c r="G150" s="65" t="str">
        <f ca="1" t="shared" si="30"/>
        <v/>
      </c>
      <c r="H150" s="65" t="str">
        <f ca="1">IF(COUNTA($H$5:H149)-1&lt;$E$6,"("&amp;IF($A$6=0,"",INDIRECT("A"&amp;MOD(ROW()-ROW($A$7),$A$6)+ROW($A$7)))&amp;" "&amp;IF($B$6=0,"",INDIRECT("B"&amp;MOD(ROUNDUP((ROW()-ROW($B$7)+1)/$A$6,0)-1,$B$6)+ROW($A$7)))&amp;" "&amp;IF($D$6=0,"",INDIRECT("C"&amp;MOD(ROUNDUP((ROW()-ROW($B$7)+1)/($E$6/$D$6),0)-1,$E$6)+ROW($A$7)))&amp;")","")</f>
        <v/>
      </c>
      <c r="I150" s="65" t="str">
        <f ca="1" t="shared" si="31"/>
        <v/>
      </c>
      <c r="J150" s="65" t="str">
        <f ca="1" t="shared" si="32"/>
        <v/>
      </c>
      <c r="K150" s="65"/>
      <c r="L150" s="65"/>
      <c r="M150" s="126" t="str">
        <f ca="1" t="shared" si="33"/>
        <v/>
      </c>
      <c r="N150" s="126" t="str">
        <f ca="1" t="shared" si="34"/>
        <v/>
      </c>
      <c r="O150" s="103" t="str">
        <f ca="1" t="shared" si="35"/>
        <v/>
      </c>
      <c r="P150" s="103" t="str">
        <f ca="1" t="shared" si="36"/>
        <v/>
      </c>
    </row>
    <row r="151" ht="15" spans="7:16">
      <c r="G151" s="65" t="str">
        <f ca="1" t="shared" si="30"/>
        <v/>
      </c>
      <c r="H151" s="65" t="str">
        <f ca="1">IF(COUNTA($H$5:H150)-1&lt;$E$6,"("&amp;IF($A$6=0,"",INDIRECT("A"&amp;MOD(ROW()-ROW($A$7),$A$6)+ROW($A$7)))&amp;" "&amp;IF($B$6=0,"",INDIRECT("B"&amp;MOD(ROUNDUP((ROW()-ROW($B$7)+1)/$A$6,0)-1,$B$6)+ROW($A$7)))&amp;" "&amp;IF($D$6=0,"",INDIRECT("C"&amp;MOD(ROUNDUP((ROW()-ROW($B$7)+1)/($E$6/$D$6),0)-1,$E$6)+ROW($A$7)))&amp;")","")</f>
        <v/>
      </c>
      <c r="I151" s="65" t="str">
        <f ca="1" t="shared" si="31"/>
        <v/>
      </c>
      <c r="J151" s="65" t="str">
        <f ca="1" t="shared" si="32"/>
        <v/>
      </c>
      <c r="K151" s="65"/>
      <c r="L151" s="65"/>
      <c r="M151" s="126" t="str">
        <f ca="1" t="shared" si="33"/>
        <v/>
      </c>
      <c r="N151" s="126" t="str">
        <f ca="1" t="shared" si="34"/>
        <v/>
      </c>
      <c r="O151" s="103" t="str">
        <f ca="1" t="shared" si="35"/>
        <v/>
      </c>
      <c r="P151" s="103" t="str">
        <f ca="1" t="shared" si="36"/>
        <v/>
      </c>
    </row>
    <row r="152" ht="15" spans="7:16">
      <c r="G152" s="65" t="str">
        <f ca="1" t="shared" si="30"/>
        <v/>
      </c>
      <c r="H152" s="65" t="str">
        <f ca="1">IF(COUNTA($H$5:H151)-1&lt;$E$6,"("&amp;IF($A$6=0,"",INDIRECT("A"&amp;MOD(ROW()-ROW($A$7),$A$6)+ROW($A$7)))&amp;" "&amp;IF($B$6=0,"",INDIRECT("B"&amp;MOD(ROUNDUP((ROW()-ROW($B$7)+1)/$A$6,0)-1,$B$6)+ROW($A$7)))&amp;" "&amp;IF($D$6=0,"",INDIRECT("C"&amp;MOD(ROUNDUP((ROW()-ROW($B$7)+1)/($E$6/$D$6),0)-1,$E$6)+ROW($A$7)))&amp;")","")</f>
        <v/>
      </c>
      <c r="I152" s="65" t="str">
        <f ca="1" t="shared" si="31"/>
        <v/>
      </c>
      <c r="J152" s="65" t="str">
        <f ca="1" t="shared" si="32"/>
        <v/>
      </c>
      <c r="K152" s="65"/>
      <c r="L152" s="65"/>
      <c r="M152" s="126" t="str">
        <f ca="1" t="shared" si="33"/>
        <v/>
      </c>
      <c r="N152" s="126" t="str">
        <f ca="1" t="shared" si="34"/>
        <v/>
      </c>
      <c r="O152" s="103" t="str">
        <f ca="1" t="shared" si="35"/>
        <v/>
      </c>
      <c r="P152" s="103" t="str">
        <f ca="1" t="shared" si="36"/>
        <v/>
      </c>
    </row>
    <row r="153" ht="15" spans="7:16">
      <c r="G153" s="65" t="str">
        <f ca="1" t="shared" si="30"/>
        <v/>
      </c>
      <c r="H153" s="65" t="str">
        <f ca="1">IF(COUNTA($H$5:H152)-1&lt;$E$6,"("&amp;IF($A$6=0,"",INDIRECT("A"&amp;MOD(ROW()-ROW($A$7),$A$6)+ROW($A$7)))&amp;" "&amp;IF($B$6=0,"",INDIRECT("B"&amp;MOD(ROUNDUP((ROW()-ROW($B$7)+1)/$A$6,0)-1,$B$6)+ROW($A$7)))&amp;" "&amp;IF($D$6=0,"",INDIRECT("C"&amp;MOD(ROUNDUP((ROW()-ROW($B$7)+1)/($E$6/$D$6),0)-1,$E$6)+ROW($A$7)))&amp;")","")</f>
        <v/>
      </c>
      <c r="I153" s="65" t="str">
        <f ca="1" t="shared" si="31"/>
        <v/>
      </c>
      <c r="J153" s="65" t="str">
        <f ca="1" t="shared" si="32"/>
        <v/>
      </c>
      <c r="K153" s="65"/>
      <c r="L153" s="65"/>
      <c r="M153" s="126" t="str">
        <f ca="1" t="shared" si="33"/>
        <v/>
      </c>
      <c r="N153" s="126" t="str">
        <f ca="1" t="shared" si="34"/>
        <v/>
      </c>
      <c r="O153" s="103" t="str">
        <f ca="1" t="shared" si="35"/>
        <v/>
      </c>
      <c r="P153" s="103" t="str">
        <f ca="1" t="shared" si="36"/>
        <v/>
      </c>
    </row>
    <row r="154" ht="15" spans="7:16">
      <c r="G154" s="65" t="str">
        <f ca="1" t="shared" si="30"/>
        <v/>
      </c>
      <c r="H154" s="65" t="str">
        <f ca="1">IF(COUNTA($H$5:H153)-1&lt;$E$6,"("&amp;IF($A$6=0,"",INDIRECT("A"&amp;MOD(ROW()-ROW($A$7),$A$6)+ROW($A$7)))&amp;" "&amp;IF($B$6=0,"",INDIRECT("B"&amp;MOD(ROUNDUP((ROW()-ROW($B$7)+1)/$A$6,0)-1,$B$6)+ROW($A$7)))&amp;" "&amp;IF($D$6=0,"",INDIRECT("C"&amp;MOD(ROUNDUP((ROW()-ROW($B$7)+1)/($E$6/$D$6),0)-1,$E$6)+ROW($A$7)))&amp;")","")</f>
        <v/>
      </c>
      <c r="I154" s="65" t="str">
        <f ca="1" t="shared" si="31"/>
        <v/>
      </c>
      <c r="J154" s="65" t="str">
        <f ca="1" t="shared" si="32"/>
        <v/>
      </c>
      <c r="K154" s="65"/>
      <c r="L154" s="65"/>
      <c r="M154" s="126" t="str">
        <f ca="1" t="shared" si="33"/>
        <v/>
      </c>
      <c r="N154" s="126" t="str">
        <f ca="1" t="shared" si="34"/>
        <v/>
      </c>
      <c r="O154" s="103" t="str">
        <f ca="1" t="shared" si="35"/>
        <v/>
      </c>
      <c r="P154" s="103" t="str">
        <f ca="1" t="shared" si="36"/>
        <v/>
      </c>
    </row>
    <row r="155" ht="15" spans="7:16">
      <c r="G155" s="65" t="str">
        <f ca="1" t="shared" si="30"/>
        <v/>
      </c>
      <c r="H155" s="65" t="str">
        <f ca="1">IF(COUNTA($H$5:H154)-1&lt;$E$6,"("&amp;IF($A$6=0,"",INDIRECT("A"&amp;MOD(ROW()-ROW($A$7),$A$6)+ROW($A$7)))&amp;" "&amp;IF($B$6=0,"",INDIRECT("B"&amp;MOD(ROUNDUP((ROW()-ROW($B$7)+1)/$A$6,0)-1,$B$6)+ROW($A$7)))&amp;" "&amp;IF($D$6=0,"",INDIRECT("C"&amp;MOD(ROUNDUP((ROW()-ROW($B$7)+1)/($E$6/$D$6),0)-1,$E$6)+ROW($A$7)))&amp;")","")</f>
        <v/>
      </c>
      <c r="I155" s="65" t="str">
        <f ca="1" t="shared" si="31"/>
        <v/>
      </c>
      <c r="J155" s="65" t="str">
        <f ca="1" t="shared" si="32"/>
        <v/>
      </c>
      <c r="K155" s="65"/>
      <c r="L155" s="65"/>
      <c r="M155" s="126" t="str">
        <f ca="1" t="shared" si="33"/>
        <v/>
      </c>
      <c r="N155" s="126" t="str">
        <f ca="1" t="shared" si="34"/>
        <v/>
      </c>
      <c r="O155" s="103" t="str">
        <f ca="1" t="shared" si="35"/>
        <v/>
      </c>
      <c r="P155" s="103" t="str">
        <f ca="1" t="shared" si="36"/>
        <v/>
      </c>
    </row>
    <row r="156" ht="15" spans="7:16">
      <c r="G156" s="65" t="str">
        <f ca="1" t="shared" si="30"/>
        <v/>
      </c>
      <c r="H156" s="65" t="str">
        <f ca="1">IF(COUNTA($H$5:H155)-1&lt;$E$6,"("&amp;IF($A$6=0,"",INDIRECT("A"&amp;MOD(ROW()-ROW($A$7),$A$6)+ROW($A$7)))&amp;" "&amp;IF($B$6=0,"",INDIRECT("B"&amp;MOD(ROUNDUP((ROW()-ROW($B$7)+1)/$A$6,0)-1,$B$6)+ROW($A$7)))&amp;" "&amp;IF($D$6=0,"",INDIRECT("C"&amp;MOD(ROUNDUP((ROW()-ROW($B$7)+1)/($E$6/$D$6),0)-1,$E$6)+ROW($A$7)))&amp;")","")</f>
        <v/>
      </c>
      <c r="I156" s="65" t="str">
        <f ca="1" t="shared" si="31"/>
        <v/>
      </c>
      <c r="J156" s="65" t="str">
        <f ca="1" t="shared" si="32"/>
        <v/>
      </c>
      <c r="K156" s="65"/>
      <c r="L156" s="65"/>
      <c r="M156" s="126" t="str">
        <f ca="1" t="shared" si="33"/>
        <v/>
      </c>
      <c r="N156" s="126" t="str">
        <f ca="1" t="shared" si="34"/>
        <v/>
      </c>
      <c r="O156" s="103" t="str">
        <f ca="1" t="shared" si="35"/>
        <v/>
      </c>
      <c r="P156" s="103" t="str">
        <f ca="1" t="shared" si="36"/>
        <v/>
      </c>
    </row>
    <row r="157" ht="15" spans="7:16">
      <c r="G157" s="65" t="str">
        <f ca="1" t="shared" si="30"/>
        <v/>
      </c>
      <c r="H157" s="65" t="str">
        <f ca="1">IF(COUNTA($H$5:H156)-1&lt;$E$6,"("&amp;IF($A$6=0,"",INDIRECT("A"&amp;MOD(ROW()-ROW($A$7),$A$6)+ROW($A$7)))&amp;" "&amp;IF($B$6=0,"",INDIRECT("B"&amp;MOD(ROUNDUP((ROW()-ROW($B$7)+1)/$A$6,0)-1,$B$6)+ROW($A$7)))&amp;" "&amp;IF($D$6=0,"",INDIRECT("C"&amp;MOD(ROUNDUP((ROW()-ROW($B$7)+1)/($E$6/$D$6),0)-1,$E$6)+ROW($A$7)))&amp;")","")</f>
        <v/>
      </c>
      <c r="I157" s="65" t="str">
        <f ca="1" t="shared" si="31"/>
        <v/>
      </c>
      <c r="J157" s="65" t="str">
        <f ca="1" t="shared" si="32"/>
        <v/>
      </c>
      <c r="K157" s="65"/>
      <c r="L157" s="65"/>
      <c r="M157" s="126" t="str">
        <f ca="1" t="shared" si="33"/>
        <v/>
      </c>
      <c r="N157" s="126" t="str">
        <f ca="1" t="shared" si="34"/>
        <v/>
      </c>
      <c r="O157" s="103" t="str">
        <f ca="1" t="shared" si="35"/>
        <v/>
      </c>
      <c r="P157" s="103" t="str">
        <f ca="1" t="shared" si="36"/>
        <v/>
      </c>
    </row>
    <row r="158" ht="15" spans="7:16">
      <c r="G158" s="65" t="str">
        <f ca="1" t="shared" si="30"/>
        <v/>
      </c>
      <c r="H158" s="65" t="str">
        <f ca="1">IF(COUNTA($H$5:H157)-1&lt;$E$6,"("&amp;IF($A$6=0,"",INDIRECT("A"&amp;MOD(ROW()-ROW($A$7),$A$6)+ROW($A$7)))&amp;" "&amp;IF($B$6=0,"",INDIRECT("B"&amp;MOD(ROUNDUP((ROW()-ROW($B$7)+1)/$A$6,0)-1,$B$6)+ROW($A$7)))&amp;" "&amp;IF($D$6=0,"",INDIRECT("C"&amp;MOD(ROUNDUP((ROW()-ROW($B$7)+1)/($E$6/$D$6),0)-1,$E$6)+ROW($A$7)))&amp;")","")</f>
        <v/>
      </c>
      <c r="I158" s="65" t="str">
        <f ca="1" t="shared" si="31"/>
        <v/>
      </c>
      <c r="J158" s="65" t="str">
        <f ca="1" t="shared" si="32"/>
        <v/>
      </c>
      <c r="K158" s="65"/>
      <c r="L158" s="65"/>
      <c r="M158" s="126" t="str">
        <f ca="1" t="shared" si="33"/>
        <v/>
      </c>
      <c r="N158" s="126" t="str">
        <f ca="1" t="shared" si="34"/>
        <v/>
      </c>
      <c r="O158" s="103" t="str">
        <f ca="1" t="shared" si="35"/>
        <v/>
      </c>
      <c r="P158" s="103" t="str">
        <f ca="1" t="shared" si="36"/>
        <v/>
      </c>
    </row>
  </sheetData>
  <mergeCells count="69">
    <mergeCell ref="B1:C1"/>
    <mergeCell ref="G1:P1"/>
    <mergeCell ref="S1:T1"/>
    <mergeCell ref="G2:P2"/>
    <mergeCell ref="S2:T2"/>
    <mergeCell ref="S3:T3"/>
    <mergeCell ref="R29:X29"/>
    <mergeCell ref="R30:S30"/>
    <mergeCell ref="T30:X30"/>
    <mergeCell ref="R31:S31"/>
    <mergeCell ref="T31:X31"/>
    <mergeCell ref="R32:S32"/>
    <mergeCell ref="T32:X32"/>
    <mergeCell ref="R33:S33"/>
    <mergeCell ref="R34:S34"/>
    <mergeCell ref="R35:S35"/>
    <mergeCell ref="T35:X35"/>
    <mergeCell ref="R36:S36"/>
    <mergeCell ref="T36:X36"/>
    <mergeCell ref="R37:S37"/>
    <mergeCell ref="T37:X37"/>
    <mergeCell ref="G4:G5"/>
    <mergeCell ref="H4:H5"/>
    <mergeCell ref="M4:M5"/>
    <mergeCell ref="N4:N5"/>
    <mergeCell ref="O4:O5"/>
    <mergeCell ref="P4:P5"/>
    <mergeCell ref="R6:R7"/>
    <mergeCell ref="R8:R9"/>
    <mergeCell ref="R10:R11"/>
    <mergeCell ref="R12:R13"/>
    <mergeCell ref="R14:R15"/>
    <mergeCell ref="R41:R42"/>
    <mergeCell ref="R43:R44"/>
    <mergeCell ref="R45:R46"/>
    <mergeCell ref="R47:R48"/>
    <mergeCell ref="R49:R50"/>
    <mergeCell ref="R51:R52"/>
    <mergeCell ref="R53:R54"/>
    <mergeCell ref="Z4:Z5"/>
    <mergeCell ref="Z6:Z7"/>
    <mergeCell ref="Z8:Z9"/>
    <mergeCell ref="Z10:Z11"/>
    <mergeCell ref="Z12:Z13"/>
    <mergeCell ref="Z14:Z15"/>
    <mergeCell ref="Z39:Z40"/>
    <mergeCell ref="Z41:Z42"/>
    <mergeCell ref="Z43:Z44"/>
    <mergeCell ref="Z45:Z46"/>
    <mergeCell ref="Z47:Z48"/>
    <mergeCell ref="Z49:Z50"/>
    <mergeCell ref="Z51:Z52"/>
    <mergeCell ref="Z53:Z54"/>
    <mergeCell ref="S6:Y7"/>
    <mergeCell ref="S10:Y11"/>
    <mergeCell ref="S12:Y13"/>
    <mergeCell ref="S14:Y15"/>
    <mergeCell ref="R17:Y18"/>
    <mergeCell ref="R19:Y27"/>
    <mergeCell ref="R4:Y5"/>
    <mergeCell ref="S8:Y9"/>
    <mergeCell ref="R39:Y40"/>
    <mergeCell ref="S41:Y42"/>
    <mergeCell ref="S43:Y44"/>
    <mergeCell ref="S51:Y52"/>
    <mergeCell ref="S53:Y54"/>
    <mergeCell ref="S45:Y46"/>
    <mergeCell ref="S47:Y48"/>
    <mergeCell ref="S49:Y50"/>
  </mergeCells>
  <conditionalFormatting sqref="Q1">
    <cfRule type="cellIs" dxfId="2" priority="134" stopIfTrue="1" operator="between">
      <formula>89</formula>
      <formula>110</formula>
    </cfRule>
  </conditionalFormatting>
  <conditionalFormatting sqref="Q2">
    <cfRule type="expression" dxfId="3" priority="131" stopIfTrue="1">
      <formula>LENB(B2)&gt;124</formula>
    </cfRule>
  </conditionalFormatting>
  <conditionalFormatting sqref="B7:C7">
    <cfRule type="expression" dxfId="1" priority="9" stopIfTrue="1">
      <formula>AND(COUNTA($B6:$G6)&lt;&gt;0,COUNTA($B7:$G7)&lt;&gt;0)</formula>
    </cfRule>
    <cfRule type="expression" dxfId="0" priority="8" stopIfTrue="1">
      <formula>AND(COUNTA($B6:$G6)&lt;&gt;0,COUNTA($B7:$G7)=0)</formula>
    </cfRule>
  </conditionalFormatting>
  <conditionalFormatting sqref="C7">
    <cfRule type="duplicateValues" dxfId="4" priority="7" stopIfTrue="1"/>
  </conditionalFormatting>
  <conditionalFormatting sqref="B8:C8">
    <cfRule type="expression" dxfId="1" priority="6" stopIfTrue="1">
      <formula>AND(COUNTA($B7:$G7)&lt;&gt;0,COUNTA($B8:$G8)&lt;&gt;0)</formula>
    </cfRule>
    <cfRule type="expression" dxfId="0" priority="5" stopIfTrue="1">
      <formula>AND(COUNTA($B7:$G7)&lt;&gt;0,COUNTA($B8:$G8)=0)</formula>
    </cfRule>
  </conditionalFormatting>
  <conditionalFormatting sqref="C8">
    <cfRule type="duplicateValues" dxfId="4" priority="4" stopIfTrue="1"/>
  </conditionalFormatting>
  <conditionalFormatting sqref="B9:C9">
    <cfRule type="expression" dxfId="1" priority="3" stopIfTrue="1">
      <formula>AND(COUNTA($B8:$G8)&lt;&gt;0,COUNTA($B9:$G9)&lt;&gt;0)</formula>
    </cfRule>
    <cfRule type="expression" dxfId="0" priority="2" stopIfTrue="1">
      <formula>AND(COUNTA($B8:$G8)&lt;&gt;0,COUNTA($B9:$G9)=0)</formula>
    </cfRule>
  </conditionalFormatting>
  <conditionalFormatting sqref="C9">
    <cfRule type="duplicateValues" dxfId="4" priority="1" stopIfTrue="1"/>
  </conditionalFormatting>
  <conditionalFormatting sqref="B10:C10">
    <cfRule type="expression" dxfId="1" priority="26" stopIfTrue="1">
      <formula>AND(COUNTA($B9:$G9)&lt;&gt;0,COUNTA($B10:$G10)&lt;&gt;0)</formula>
    </cfRule>
    <cfRule type="expression" dxfId="0" priority="25" stopIfTrue="1">
      <formula>AND(COUNTA($B9:$G9)&lt;&gt;0,COUNTA($B10:$G10)=0)</formula>
    </cfRule>
  </conditionalFormatting>
  <conditionalFormatting sqref="C10">
    <cfRule type="duplicateValues" dxfId="4" priority="24" stopIfTrue="1"/>
  </conditionalFormatting>
  <conditionalFormatting sqref="B11:C11">
    <cfRule type="expression" dxfId="1" priority="23" stopIfTrue="1">
      <formula>AND(COUNTA($B10:$G10)&lt;&gt;0,COUNTA($B11:$G11)&lt;&gt;0)</formula>
    </cfRule>
    <cfRule type="expression" dxfId="0" priority="22" stopIfTrue="1">
      <formula>AND(COUNTA($B10:$G10)&lt;&gt;0,COUNTA($B11:$G11)=0)</formula>
    </cfRule>
  </conditionalFormatting>
  <conditionalFormatting sqref="C11">
    <cfRule type="duplicateValues" dxfId="4" priority="21" stopIfTrue="1"/>
  </conditionalFormatting>
  <conditionalFormatting sqref="B12:C12">
    <cfRule type="expression" dxfId="1" priority="20" stopIfTrue="1">
      <formula>AND(COUNTA($B11:$G11)&lt;&gt;0,COUNTA($B12:$G12)&lt;&gt;0)</formula>
    </cfRule>
    <cfRule type="expression" dxfId="0" priority="19" stopIfTrue="1">
      <formula>AND(COUNTA($B11:$G11)&lt;&gt;0,COUNTA($B12:$G12)=0)</formula>
    </cfRule>
  </conditionalFormatting>
  <conditionalFormatting sqref="C12">
    <cfRule type="duplicateValues" dxfId="4" priority="18" stopIfTrue="1"/>
  </conditionalFormatting>
  <conditionalFormatting sqref="B13">
    <cfRule type="expression" dxfId="1" priority="15" stopIfTrue="1">
      <formula>AND(COUNTA($B12:$G12)&lt;&gt;0,COUNTA($B13:$G13)&lt;&gt;0)</formula>
    </cfRule>
    <cfRule type="expression" dxfId="0" priority="14" stopIfTrue="1">
      <formula>AND(COUNTA($B12:$G12)&lt;&gt;0,COUNTA($B13:$G13)=0)</formula>
    </cfRule>
  </conditionalFormatting>
  <conditionalFormatting sqref="C13">
    <cfRule type="expression" dxfId="1" priority="17" stopIfTrue="1">
      <formula>AND(COUNTA($B12:$G12)&lt;&gt;0,COUNTA($B13:$G13)&lt;&gt;0)</formula>
    </cfRule>
    <cfRule type="expression" dxfId="0" priority="16" stopIfTrue="1">
      <formula>AND(COUNTA($B12:$G12)&lt;&gt;0,COUNTA($B13:$G13)=0)</formula>
    </cfRule>
    <cfRule type="duplicateValues" dxfId="4" priority="13" stopIfTrue="1"/>
  </conditionalFormatting>
  <conditionalFormatting sqref="B14">
    <cfRule type="expression" dxfId="1" priority="93" stopIfTrue="1">
      <formula>AND(COUNTA($A13:$E13)&lt;&gt;0,COUNTA($A14:$E14)&lt;&gt;0)</formula>
    </cfRule>
    <cfRule type="expression" dxfId="0" priority="92" stopIfTrue="1">
      <formula>AND(COUNTA($A13:$E13)&lt;&gt;0,COUNTA($A14:$E14)=0)</formula>
    </cfRule>
  </conditionalFormatting>
  <conditionalFormatting sqref="C14">
    <cfRule type="expression" dxfId="1" priority="77" stopIfTrue="1">
      <formula>AND(COUNTA($A13:$E13)&lt;&gt;0,COUNTA($A14:$E14)&lt;&gt;0)</formula>
    </cfRule>
    <cfRule type="expression" dxfId="0" priority="76" stopIfTrue="1">
      <formula>AND(COUNTA($A13:$E13)&lt;&gt;0,COUNTA($A14:$E14)=0)</formula>
    </cfRule>
  </conditionalFormatting>
  <conditionalFormatting sqref="B15">
    <cfRule type="expression" dxfId="0" priority="96" stopIfTrue="1">
      <formula>AND(COUNTA($A14:$E14)&lt;&gt;0,COUNTA($A15:$E15)=0)</formula>
    </cfRule>
    <cfRule type="expression" dxfId="1" priority="97" stopIfTrue="1">
      <formula>AND(COUNTA($A14:$E14)&lt;&gt;0,COUNTA($A15:$E15)&lt;&gt;0)</formula>
    </cfRule>
  </conditionalFormatting>
  <conditionalFormatting sqref="D21">
    <cfRule type="expression" dxfId="5" priority="135">
      <formula>IF(VLOOKUP($BD$3,AttributePTDMAP,MATCH(XDL21,dropdown_list_feed_product_type_,0)+1,FALSE)&gt;0,0,1)</formula>
    </cfRule>
  </conditionalFormatting>
  <conditionalFormatting sqref="A7:A13">
    <cfRule type="expression" dxfId="1" priority="37" stopIfTrue="1">
      <formula>AND(COUNTA($A6:$E6)&lt;&gt;0,COUNTA($A7:$E7)&lt;&gt;0)</formula>
    </cfRule>
    <cfRule type="expression" dxfId="0" priority="36" stopIfTrue="1">
      <formula>AND(COUNTA($A6:$E6)&lt;&gt;0,COUNTA($A7:$E7)=0)</formula>
    </cfRule>
  </conditionalFormatting>
  <conditionalFormatting sqref="C15:C16">
    <cfRule type="expression" dxfId="1" priority="85" stopIfTrue="1">
      <formula>AND(COUNTA($A14:$E14)&lt;&gt;0,COUNTA($A15:$E15)&lt;&gt;0)</formula>
    </cfRule>
    <cfRule type="expression" dxfId="0" priority="84" stopIfTrue="1">
      <formula>AND(COUNTA($A14:$E14)&lt;&gt;0,COUNTA($A15:$E15)=0)</formula>
    </cfRule>
  </conditionalFormatting>
  <conditionalFormatting sqref="D7:D12">
    <cfRule type="expression" dxfId="1" priority="89" stopIfTrue="1">
      <formula>AND(COUNTA($A6:$E6)&lt;&gt;0,COUNTA($A7:$E7)&lt;&gt;0)</formula>
    </cfRule>
    <cfRule type="expression" dxfId="0" priority="88" stopIfTrue="1">
      <formula>AND(COUNTA($A6:$E6)&lt;&gt;0,COUNTA($A7:$E7)=0)</formula>
    </cfRule>
  </conditionalFormatting>
  <conditionalFormatting sqref="A6:B6 D6:E6 E7:E12 D13:E13 A14:A15 D14:E15 A16:B42 D16:E42">
    <cfRule type="expression" dxfId="0" priority="138" stopIfTrue="1">
      <formula>AND(COUNTA($A5:$E5)&lt;&gt;0,COUNTA($A6:$E6)=0)</formula>
    </cfRule>
    <cfRule type="expression" dxfId="1" priority="139" stopIfTrue="1">
      <formula>AND(COUNTA($A5:$E5)&lt;&gt;0,COUNTA($A6:$E6)&lt;&gt;0)</formula>
    </cfRule>
  </conditionalFormatting>
  <conditionalFormatting sqref="C6 C17:C77">
    <cfRule type="expression" dxfId="1" priority="133" stopIfTrue="1">
      <formula>AND(COUNTA($A5:$E5)&lt;&gt;0,COUNTA($A6:$E6)&lt;&gt;0)</formula>
    </cfRule>
    <cfRule type="expression" dxfId="0" priority="132" stopIfTrue="1">
      <formula>AND(COUNTA($A5:$E5)&lt;&gt;0,COUNTA($A6:$E6)=0)</formula>
    </cfRule>
  </conditionalFormatting>
  <conditionalFormatting sqref="G6:P158">
    <cfRule type="expression" dxfId="1" priority="136" stopIfTrue="1">
      <formula>ROW($H6)-ROW($H$7)+1&lt;$E$6</formula>
    </cfRule>
    <cfRule type="expression" dxfId="0" priority="137" stopIfTrue="1">
      <formula>ROW($H6)-ROW($H$7)+1=$E$6</formula>
    </cfRule>
  </conditionalFormatting>
  <dataValidations count="3">
    <dataValidation type="list" allowBlank="1" showInputMessage="1" showErrorMessage="1" sqref="P3">
      <formula1>"是,否"</formula1>
    </dataValidation>
    <dataValidation type="textLength" operator="between" allowBlank="1" showInputMessage="1" showErrorMessage="1" errorTitle="Error" error="英字は1文字以上入力する必要があります。" prompt="必須/推奨? : 推奨   内容説明 : 商品がどのブラウズノードに割り当てられるかを決定するもの。入力値はブラウズツリーガイドを参照のこと。値が入力されない場合、Amazon.co.jp サイト上いずれのブラウズノードにも商品が割り当てられず、表示されない。" sqref="D21">
      <formula1>1</formula1>
      <formula2>2147483647</formula2>
    </dataValidation>
    <dataValidation allowBlank="1" showInputMessage="1" showErrorMessage="1" sqref="N3:N158 P4:P158"/>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96"/>
  <sheetViews>
    <sheetView zoomScaleSheetLayoutView="60" workbookViewId="0">
      <selection activeCell="B11" sqref="B11:C11"/>
    </sheetView>
  </sheetViews>
  <sheetFormatPr defaultColWidth="9.45833333333333" defaultRowHeight="14.25"/>
  <cols>
    <col min="1" max="1" width="12.95" style="52" customWidth="1"/>
    <col min="2" max="2" width="23.4583333333333" style="52" customWidth="1"/>
    <col min="3" max="32" width="9.81666666666667" style="52"/>
    <col min="33" max="16384" width="9.45833333333333" style="52"/>
  </cols>
  <sheetData>
    <row r="1" ht="15" spans="1:9">
      <c r="A1" s="53" t="s">
        <v>60</v>
      </c>
      <c r="B1" s="53" t="s">
        <v>5</v>
      </c>
      <c r="C1" s="53" t="s">
        <v>110</v>
      </c>
      <c r="D1" s="53" t="s">
        <v>111</v>
      </c>
      <c r="E1" s="53" t="s">
        <v>112</v>
      </c>
      <c r="F1" s="53"/>
    </row>
    <row r="2" ht="15" spans="1:9">
      <c r="A2" s="54"/>
      <c r="B2" s="54">
        <f>IF(COUNTA(B$7:B$34)=0,0,COUNTA(B$7:B$34))</f>
        <v>28</v>
      </c>
      <c r="C2" s="54">
        <f>IF(COUNTA(C$7:C$34)=0,0,COUNTA(C$7:C$34))</f>
        <v>28</v>
      </c>
      <c r="D2" s="54">
        <f>IF(COUNTA(D$7:D$34)=0,0,COUNTA(D$7:D$34))</f>
        <v>28</v>
      </c>
      <c r="E2" s="54">
        <f>IF(COUNTA(E$7:E$34)=0,0,COUNTA(E$7:E$34))</f>
        <v>28</v>
      </c>
      <c r="F2" s="54"/>
    </row>
    <row r="3" ht="15" spans="1:9">
      <c r="A3" s="55" t="s">
        <v>113</v>
      </c>
      <c r="B3" s="56" t="s">
        <v>114</v>
      </c>
      <c r="C3" s="55" t="s">
        <v>105</v>
      </c>
      <c r="D3" s="55" t="s">
        <v>114</v>
      </c>
      <c r="E3" s="57" t="s">
        <v>115</v>
      </c>
      <c r="F3" s="57"/>
    </row>
    <row r="4" ht="15" spans="1:9">
      <c r="A4" s="55" t="s">
        <v>116</v>
      </c>
      <c r="B4" s="56" t="s">
        <v>117</v>
      </c>
      <c r="C4" s="55" t="s">
        <v>118</v>
      </c>
      <c r="D4" s="55" t="s">
        <v>117</v>
      </c>
      <c r="E4" s="57" t="s">
        <v>119</v>
      </c>
      <c r="F4" s="57"/>
      <c r="I4" s="58"/>
    </row>
    <row r="5" ht="15" spans="1:9">
      <c r="A5" s="55" t="s">
        <v>120</v>
      </c>
      <c r="B5" s="56" t="s">
        <v>121</v>
      </c>
      <c r="C5" s="55" t="s">
        <v>106</v>
      </c>
      <c r="D5" s="55" t="s">
        <v>121</v>
      </c>
      <c r="E5" s="57" t="s">
        <v>122</v>
      </c>
      <c r="F5" s="57"/>
      <c r="I5" s="58"/>
    </row>
    <row r="6" ht="15" spans="1:9">
      <c r="A6" s="55" t="s">
        <v>123</v>
      </c>
      <c r="B6" s="55" t="s">
        <v>124</v>
      </c>
      <c r="C6" s="55" t="s">
        <v>125</v>
      </c>
      <c r="D6" s="55" t="s">
        <v>124</v>
      </c>
      <c r="E6" s="57" t="s">
        <v>126</v>
      </c>
      <c r="F6" s="57"/>
      <c r="I6" s="58"/>
    </row>
    <row r="7" ht="15" spans="1:9">
      <c r="A7" s="55" t="s">
        <v>127</v>
      </c>
      <c r="B7" s="56" t="s">
        <v>128</v>
      </c>
      <c r="C7" s="55" t="s">
        <v>129</v>
      </c>
      <c r="D7" s="55" t="s">
        <v>128</v>
      </c>
      <c r="E7" s="57" t="s">
        <v>130</v>
      </c>
      <c r="F7" s="57"/>
      <c r="I7" s="58"/>
    </row>
    <row r="8" ht="15" spans="1:9">
      <c r="A8" s="59" t="s">
        <v>131</v>
      </c>
      <c r="B8" s="60" t="s">
        <v>132</v>
      </c>
      <c r="C8" s="59" t="s">
        <v>133</v>
      </c>
      <c r="D8" s="59" t="s">
        <v>132</v>
      </c>
      <c r="E8" s="57" t="s">
        <v>134</v>
      </c>
      <c r="F8" s="57"/>
      <c r="I8" s="58"/>
    </row>
    <row r="9" ht="15" spans="1:9">
      <c r="A9" s="55" t="s">
        <v>135</v>
      </c>
      <c r="B9" s="56" t="s">
        <v>136</v>
      </c>
      <c r="C9" s="55" t="s">
        <v>137</v>
      </c>
      <c r="D9" s="55" t="s">
        <v>136</v>
      </c>
      <c r="E9" s="57" t="s">
        <v>138</v>
      </c>
      <c r="F9" s="57"/>
      <c r="I9" s="58"/>
    </row>
    <row r="10" ht="15" spans="1:9">
      <c r="A10" s="55" t="s">
        <v>139</v>
      </c>
      <c r="B10" s="56" t="s">
        <v>140</v>
      </c>
      <c r="C10" s="55" t="s">
        <v>141</v>
      </c>
      <c r="D10" s="55" t="s">
        <v>140</v>
      </c>
      <c r="E10" s="57" t="s">
        <v>142</v>
      </c>
      <c r="F10" s="57"/>
      <c r="I10" s="58"/>
    </row>
    <row r="11" ht="15" spans="1:9">
      <c r="A11" s="55" t="s">
        <v>143</v>
      </c>
      <c r="B11" s="55" t="s">
        <v>144</v>
      </c>
      <c r="C11" s="55" t="s">
        <v>145</v>
      </c>
      <c r="D11" s="55" t="s">
        <v>144</v>
      </c>
      <c r="E11" s="57" t="s">
        <v>146</v>
      </c>
      <c r="F11" s="57"/>
    </row>
    <row r="12" ht="15" spans="1:9">
      <c r="A12" s="55" t="s">
        <v>147</v>
      </c>
      <c r="B12" s="56" t="s">
        <v>148</v>
      </c>
      <c r="C12" s="55" t="s">
        <v>149</v>
      </c>
      <c r="D12" s="55" t="s">
        <v>148</v>
      </c>
      <c r="E12" s="57" t="s">
        <v>150</v>
      </c>
      <c r="F12" s="57"/>
    </row>
    <row r="13" ht="15" spans="1:9">
      <c r="A13" s="55" t="s">
        <v>151</v>
      </c>
      <c r="B13" s="56" t="s">
        <v>152</v>
      </c>
      <c r="C13" s="55" t="s">
        <v>153</v>
      </c>
      <c r="D13" s="55" t="s">
        <v>152</v>
      </c>
      <c r="E13" s="57" t="s">
        <v>154</v>
      </c>
      <c r="F13" s="57"/>
    </row>
    <row r="14" ht="15" spans="1:9">
      <c r="A14" s="55" t="s">
        <v>155</v>
      </c>
      <c r="B14" s="56" t="s">
        <v>156</v>
      </c>
      <c r="C14" s="55" t="s">
        <v>157</v>
      </c>
      <c r="D14" s="55" t="s">
        <v>156</v>
      </c>
      <c r="E14" s="57" t="s">
        <v>158</v>
      </c>
      <c r="F14" s="57"/>
    </row>
    <row r="15" ht="15" spans="1:9">
      <c r="A15" s="55" t="s">
        <v>159</v>
      </c>
      <c r="B15" s="55" t="s">
        <v>160</v>
      </c>
      <c r="C15" s="55" t="s">
        <v>161</v>
      </c>
      <c r="D15" s="55" t="s">
        <v>160</v>
      </c>
      <c r="E15" s="57" t="s">
        <v>162</v>
      </c>
      <c r="F15" s="57"/>
    </row>
    <row r="16" ht="15" spans="1:9">
      <c r="A16" s="55" t="s">
        <v>163</v>
      </c>
      <c r="B16" s="56" t="s">
        <v>164</v>
      </c>
      <c r="C16" s="55" t="s">
        <v>165</v>
      </c>
      <c r="D16" s="55" t="s">
        <v>164</v>
      </c>
      <c r="E16" s="57" t="s">
        <v>166</v>
      </c>
      <c r="F16" s="57"/>
    </row>
    <row r="17" ht="15" spans="1:6">
      <c r="A17" s="59" t="s">
        <v>167</v>
      </c>
      <c r="B17" s="59" t="s">
        <v>168</v>
      </c>
      <c r="C17" s="59" t="s">
        <v>169</v>
      </c>
      <c r="D17" s="59" t="s">
        <v>168</v>
      </c>
      <c r="E17" s="57" t="s">
        <v>170</v>
      </c>
      <c r="F17" s="57"/>
    </row>
    <row r="18" ht="15" spans="1:6">
      <c r="A18" s="55" t="s">
        <v>171</v>
      </c>
      <c r="B18" s="55" t="s">
        <v>172</v>
      </c>
      <c r="C18" s="55" t="s">
        <v>173</v>
      </c>
      <c r="D18" s="55" t="s">
        <v>172</v>
      </c>
      <c r="E18" s="57" t="s">
        <v>174</v>
      </c>
      <c r="F18" s="57"/>
    </row>
    <row r="19" ht="15" spans="1:6">
      <c r="A19" s="55" t="s">
        <v>175</v>
      </c>
      <c r="B19" s="56" t="s">
        <v>176</v>
      </c>
      <c r="C19" s="55" t="s">
        <v>177</v>
      </c>
      <c r="D19" s="55" t="s">
        <v>176</v>
      </c>
      <c r="E19" s="57" t="s">
        <v>178</v>
      </c>
      <c r="F19" s="57"/>
    </row>
    <row r="20" ht="15" spans="1:6">
      <c r="A20" s="55" t="s">
        <v>179</v>
      </c>
      <c r="B20" s="56" t="s">
        <v>180</v>
      </c>
      <c r="C20" s="55" t="s">
        <v>181</v>
      </c>
      <c r="D20" s="55" t="s">
        <v>180</v>
      </c>
      <c r="E20" s="57" t="s">
        <v>182</v>
      </c>
      <c r="F20" s="57"/>
    </row>
    <row r="21" ht="15" spans="1:6">
      <c r="A21" s="55" t="s">
        <v>183</v>
      </c>
      <c r="B21" s="55" t="s">
        <v>184</v>
      </c>
      <c r="C21" s="55" t="s">
        <v>185</v>
      </c>
      <c r="D21" s="55" t="s">
        <v>184</v>
      </c>
      <c r="E21" s="57" t="s">
        <v>186</v>
      </c>
      <c r="F21" s="57"/>
    </row>
    <row r="22" ht="15" spans="1:6">
      <c r="A22" s="55" t="s">
        <v>187</v>
      </c>
      <c r="B22" s="55" t="s">
        <v>188</v>
      </c>
      <c r="C22" s="55" t="s">
        <v>189</v>
      </c>
      <c r="D22" s="55" t="s">
        <v>188</v>
      </c>
      <c r="E22" s="57" t="s">
        <v>190</v>
      </c>
      <c r="F22" s="57"/>
    </row>
    <row r="23" ht="15" spans="1:6">
      <c r="A23" s="55" t="s">
        <v>191</v>
      </c>
      <c r="B23" s="56" t="s">
        <v>192</v>
      </c>
      <c r="C23" s="55" t="s">
        <v>193</v>
      </c>
      <c r="D23" s="55" t="s">
        <v>192</v>
      </c>
      <c r="E23" s="57" t="s">
        <v>194</v>
      </c>
      <c r="F23" s="57"/>
    </row>
    <row r="24" ht="15" spans="1:6">
      <c r="A24" s="55" t="s">
        <v>195</v>
      </c>
      <c r="B24" s="55" t="s">
        <v>196</v>
      </c>
      <c r="C24" s="55" t="s">
        <v>197</v>
      </c>
      <c r="D24" s="55" t="s">
        <v>196</v>
      </c>
      <c r="E24" s="57" t="s">
        <v>198</v>
      </c>
      <c r="F24" s="57"/>
    </row>
    <row r="25" ht="15" spans="1:6">
      <c r="A25" s="55" t="s">
        <v>199</v>
      </c>
      <c r="B25" s="55" t="s">
        <v>200</v>
      </c>
      <c r="C25" s="55" t="s">
        <v>201</v>
      </c>
      <c r="D25" s="55" t="s">
        <v>200</v>
      </c>
      <c r="E25" s="57" t="s">
        <v>202</v>
      </c>
      <c r="F25" s="57"/>
    </row>
    <row r="26" ht="15" spans="1:6">
      <c r="A26" s="59" t="s">
        <v>203</v>
      </c>
      <c r="B26" s="59" t="s">
        <v>204</v>
      </c>
      <c r="C26" s="59" t="s">
        <v>205</v>
      </c>
      <c r="D26" s="59" t="s">
        <v>204</v>
      </c>
      <c r="E26" s="57" t="s">
        <v>206</v>
      </c>
      <c r="F26" s="57"/>
    </row>
    <row r="27" ht="15" spans="1:6">
      <c r="A27" s="55" t="s">
        <v>207</v>
      </c>
      <c r="B27" s="56" t="s">
        <v>208</v>
      </c>
      <c r="C27" s="55" t="s">
        <v>209</v>
      </c>
      <c r="D27" s="55" t="s">
        <v>208</v>
      </c>
      <c r="E27" s="57" t="s">
        <v>210</v>
      </c>
      <c r="F27" s="57"/>
    </row>
    <row r="28" ht="15" spans="1:6">
      <c r="A28" s="55" t="s">
        <v>211</v>
      </c>
      <c r="B28" s="55" t="s">
        <v>212</v>
      </c>
      <c r="C28" s="55" t="s">
        <v>213</v>
      </c>
      <c r="D28" s="55" t="s">
        <v>212</v>
      </c>
      <c r="E28" s="57" t="s">
        <v>214</v>
      </c>
      <c r="F28" s="57"/>
    </row>
    <row r="29" ht="15" spans="1:6">
      <c r="A29" s="55" t="s">
        <v>215</v>
      </c>
      <c r="B29" s="55" t="s">
        <v>216</v>
      </c>
      <c r="C29" s="55" t="s">
        <v>217</v>
      </c>
      <c r="D29" s="55" t="s">
        <v>216</v>
      </c>
      <c r="E29" s="57" t="s">
        <v>218</v>
      </c>
      <c r="F29" s="57"/>
    </row>
    <row r="30" ht="15" spans="1:6">
      <c r="A30" s="55" t="s">
        <v>219</v>
      </c>
      <c r="B30" s="55" t="s">
        <v>220</v>
      </c>
      <c r="C30" s="55" t="s">
        <v>221</v>
      </c>
      <c r="D30" s="55" t="s">
        <v>220</v>
      </c>
      <c r="E30" s="57" t="s">
        <v>222</v>
      </c>
      <c r="F30" s="57"/>
    </row>
    <row r="31" ht="15" spans="1:6">
      <c r="A31" s="55" t="s">
        <v>223</v>
      </c>
      <c r="B31" s="55" t="s">
        <v>224</v>
      </c>
      <c r="C31" s="55" t="s">
        <v>225</v>
      </c>
      <c r="D31" s="55" t="s">
        <v>224</v>
      </c>
      <c r="E31" s="57" t="s">
        <v>226</v>
      </c>
      <c r="F31" s="57"/>
    </row>
    <row r="32" ht="15" spans="1:6">
      <c r="A32" s="55" t="s">
        <v>227</v>
      </c>
      <c r="B32" s="55" t="s">
        <v>228</v>
      </c>
      <c r="C32" s="55" t="s">
        <v>229</v>
      </c>
      <c r="D32" s="55" t="s">
        <v>228</v>
      </c>
      <c r="E32" s="57" t="s">
        <v>230</v>
      </c>
      <c r="F32" s="57"/>
    </row>
    <row r="33" ht="15" spans="1:6">
      <c r="A33" s="55" t="s">
        <v>231</v>
      </c>
      <c r="B33" s="56" t="s">
        <v>232</v>
      </c>
      <c r="C33" s="55" t="s">
        <v>233</v>
      </c>
      <c r="D33" s="55" t="s">
        <v>232</v>
      </c>
      <c r="E33" s="57" t="s">
        <v>234</v>
      </c>
      <c r="F33" s="57"/>
    </row>
    <row r="34" ht="15" spans="1:6">
      <c r="A34" s="55" t="s">
        <v>235</v>
      </c>
      <c r="B34" s="55" t="s">
        <v>236</v>
      </c>
      <c r="C34" s="55" t="s">
        <v>237</v>
      </c>
      <c r="D34" s="55" t="s">
        <v>236</v>
      </c>
      <c r="E34" s="57" t="s">
        <v>238</v>
      </c>
      <c r="F34" s="57"/>
    </row>
    <row r="35" ht="15" spans="1:6">
      <c r="A35" s="55" t="s">
        <v>239</v>
      </c>
      <c r="B35" s="55" t="s">
        <v>240</v>
      </c>
      <c r="C35" s="55" t="s">
        <v>241</v>
      </c>
      <c r="D35" s="55" t="s">
        <v>242</v>
      </c>
      <c r="E35" s="57" t="s">
        <v>243</v>
      </c>
      <c r="F35" s="57"/>
    </row>
    <row r="36" ht="15" spans="1:6">
      <c r="A36" s="55" t="s">
        <v>244</v>
      </c>
      <c r="B36" s="55" t="s">
        <v>245</v>
      </c>
      <c r="C36" s="55" t="s">
        <v>246</v>
      </c>
      <c r="D36" s="55" t="s">
        <v>247</v>
      </c>
      <c r="E36" s="57" t="s">
        <v>248</v>
      </c>
      <c r="F36" s="57"/>
    </row>
    <row r="37" ht="15" spans="1:6">
      <c r="A37" s="55" t="s">
        <v>249</v>
      </c>
      <c r="B37" s="55" t="s">
        <v>250</v>
      </c>
      <c r="C37" s="55" t="s">
        <v>251</v>
      </c>
      <c r="D37" s="55" t="s">
        <v>250</v>
      </c>
      <c r="E37" s="57" t="s">
        <v>252</v>
      </c>
      <c r="F37" s="57"/>
    </row>
    <row r="38" ht="15" spans="1:6">
      <c r="A38" s="55" t="s">
        <v>253</v>
      </c>
      <c r="B38" s="55" t="s">
        <v>254</v>
      </c>
      <c r="C38" s="55" t="s">
        <v>255</v>
      </c>
      <c r="D38" s="55" t="s">
        <v>256</v>
      </c>
      <c r="E38" s="57" t="s">
        <v>257</v>
      </c>
      <c r="F38" s="57"/>
    </row>
    <row r="39" ht="15" spans="1:6">
      <c r="A39" s="55" t="s">
        <v>258</v>
      </c>
      <c r="B39" s="55" t="s">
        <v>259</v>
      </c>
      <c r="C39" s="55" t="s">
        <v>260</v>
      </c>
      <c r="D39" s="55" t="s">
        <v>259</v>
      </c>
      <c r="E39" s="57" t="s">
        <v>261</v>
      </c>
      <c r="F39" s="57"/>
    </row>
    <row r="40" ht="15" spans="1:6">
      <c r="A40" s="55" t="s">
        <v>262</v>
      </c>
      <c r="B40" s="55" t="s">
        <v>263</v>
      </c>
      <c r="C40" s="55" t="s">
        <v>264</v>
      </c>
      <c r="D40" s="55" t="s">
        <v>263</v>
      </c>
      <c r="E40" s="57" t="s">
        <v>265</v>
      </c>
      <c r="F40" s="57"/>
    </row>
    <row r="41" ht="15" spans="1:6">
      <c r="A41" s="55" t="s">
        <v>266</v>
      </c>
      <c r="B41" s="55" t="s">
        <v>267</v>
      </c>
      <c r="C41" s="55" t="s">
        <v>133</v>
      </c>
      <c r="D41" s="55" t="s">
        <v>267</v>
      </c>
      <c r="E41" s="57" t="s">
        <v>268</v>
      </c>
      <c r="F41" s="57"/>
    </row>
    <row r="42" ht="15" spans="1:6">
      <c r="A42" s="55" t="s">
        <v>167</v>
      </c>
      <c r="B42" s="55" t="s">
        <v>269</v>
      </c>
      <c r="C42" s="55" t="s">
        <v>270</v>
      </c>
      <c r="D42" s="55" t="s">
        <v>269</v>
      </c>
      <c r="E42" s="57" t="s">
        <v>271</v>
      </c>
      <c r="F42" s="57"/>
    </row>
    <row r="43" ht="15" spans="1:6">
      <c r="A43" s="55" t="s">
        <v>272</v>
      </c>
      <c r="B43" s="55" t="s">
        <v>273</v>
      </c>
      <c r="C43" s="55" t="s">
        <v>274</v>
      </c>
      <c r="D43" s="55" t="s">
        <v>273</v>
      </c>
      <c r="E43" s="57" t="s">
        <v>275</v>
      </c>
      <c r="F43" s="57"/>
    </row>
    <row r="44" ht="15" spans="1:6">
      <c r="A44" s="55" t="s">
        <v>276</v>
      </c>
      <c r="B44" s="56" t="s">
        <v>277</v>
      </c>
      <c r="C44" s="55" t="s">
        <v>278</v>
      </c>
      <c r="D44" s="55" t="s">
        <v>277</v>
      </c>
      <c r="E44" s="57" t="s">
        <v>279</v>
      </c>
      <c r="F44" s="57"/>
    </row>
    <row r="45" ht="15" spans="1:6">
      <c r="A45" s="55" t="s">
        <v>280</v>
      </c>
      <c r="B45" s="55" t="s">
        <v>281</v>
      </c>
      <c r="C45" s="55" t="s">
        <v>282</v>
      </c>
      <c r="D45" s="55" t="s">
        <v>281</v>
      </c>
      <c r="E45" s="57" t="s">
        <v>283</v>
      </c>
      <c r="F45" s="57"/>
    </row>
    <row r="46" ht="15" spans="1:6">
      <c r="A46" s="55"/>
      <c r="B46" s="55" t="s">
        <v>284</v>
      </c>
      <c r="C46" s="55" t="s">
        <v>285</v>
      </c>
      <c r="D46" s="55" t="s">
        <v>284</v>
      </c>
      <c r="E46" s="57" t="s">
        <v>286</v>
      </c>
      <c r="F46" s="57"/>
    </row>
    <row r="47" ht="15" spans="1:6">
      <c r="A47" s="55"/>
      <c r="B47" s="55" t="s">
        <v>287</v>
      </c>
      <c r="C47" s="55" t="s">
        <v>288</v>
      </c>
      <c r="D47" s="55" t="s">
        <v>287</v>
      </c>
      <c r="E47" s="57" t="s">
        <v>289</v>
      </c>
      <c r="F47" s="57"/>
    </row>
    <row r="48" ht="15" spans="1:6">
      <c r="A48" s="55"/>
      <c r="B48" s="55" t="s">
        <v>290</v>
      </c>
      <c r="C48" s="55" t="s">
        <v>291</v>
      </c>
      <c r="D48" s="55" t="s">
        <v>290</v>
      </c>
      <c r="E48" s="57" t="s">
        <v>292</v>
      </c>
      <c r="F48" s="57"/>
    </row>
    <row r="49" ht="15" spans="1:6">
      <c r="A49" s="55"/>
      <c r="B49" s="55" t="s">
        <v>293</v>
      </c>
      <c r="C49" s="55" t="s">
        <v>294</v>
      </c>
      <c r="D49" s="55" t="s">
        <v>293</v>
      </c>
      <c r="E49" s="57" t="s">
        <v>295</v>
      </c>
      <c r="F49" s="57"/>
    </row>
    <row r="50" ht="15" spans="1:6">
      <c r="A50" s="55"/>
      <c r="B50" s="55" t="s">
        <v>296</v>
      </c>
      <c r="C50" s="55" t="s">
        <v>297</v>
      </c>
      <c r="D50" s="55" t="s">
        <v>296</v>
      </c>
      <c r="E50" s="57" t="s">
        <v>298</v>
      </c>
      <c r="F50" s="57"/>
    </row>
    <row r="51" ht="15" spans="1:6">
      <c r="A51" s="55"/>
      <c r="B51" s="55" t="s">
        <v>299</v>
      </c>
      <c r="C51" s="55" t="s">
        <v>300</v>
      </c>
      <c r="D51" s="55" t="s">
        <v>299</v>
      </c>
      <c r="E51" s="57" t="s">
        <v>301</v>
      </c>
      <c r="F51" s="57"/>
    </row>
    <row r="52" ht="15" spans="1:6">
      <c r="A52" s="55"/>
      <c r="B52" s="55" t="s">
        <v>302</v>
      </c>
      <c r="C52" s="55" t="s">
        <v>303</v>
      </c>
      <c r="D52" s="55" t="s">
        <v>302</v>
      </c>
      <c r="E52" s="57" t="s">
        <v>304</v>
      </c>
      <c r="F52" s="57"/>
    </row>
    <row r="53" ht="15" spans="1:6">
      <c r="A53" s="55"/>
      <c r="B53" s="55" t="s">
        <v>305</v>
      </c>
      <c r="C53" s="55" t="s">
        <v>306</v>
      </c>
      <c r="D53" s="55" t="s">
        <v>305</v>
      </c>
      <c r="E53" s="57" t="s">
        <v>307</v>
      </c>
      <c r="F53" s="57"/>
    </row>
    <row r="54" ht="15" spans="1:6">
      <c r="A54" s="55"/>
      <c r="B54" s="55" t="s">
        <v>308</v>
      </c>
      <c r="C54" s="55" t="s">
        <v>309</v>
      </c>
      <c r="D54" s="55" t="s">
        <v>308</v>
      </c>
      <c r="E54" s="57" t="s">
        <v>310</v>
      </c>
      <c r="F54" s="57"/>
    </row>
    <row r="55" ht="15" spans="1:6">
      <c r="A55" s="55" t="s">
        <v>311</v>
      </c>
      <c r="B55" s="55" t="s">
        <v>312</v>
      </c>
      <c r="C55" s="55" t="s">
        <v>313</v>
      </c>
      <c r="D55" s="55" t="s">
        <v>312</v>
      </c>
      <c r="E55" s="57" t="s">
        <v>314</v>
      </c>
      <c r="F55" s="57"/>
    </row>
    <row r="56" ht="15" spans="1:6">
      <c r="A56" s="55" t="s">
        <v>315</v>
      </c>
      <c r="B56" s="55" t="s">
        <v>316</v>
      </c>
      <c r="C56" s="55" t="s">
        <v>317</v>
      </c>
      <c r="D56" s="55" t="s">
        <v>316</v>
      </c>
      <c r="E56" s="57" t="s">
        <v>318</v>
      </c>
      <c r="F56" s="57"/>
    </row>
    <row r="57" ht="15" spans="1:6">
      <c r="A57" s="55" t="s">
        <v>319</v>
      </c>
      <c r="B57" s="55" t="s">
        <v>320</v>
      </c>
      <c r="C57" s="55" t="s">
        <v>321</v>
      </c>
      <c r="D57" s="55" t="s">
        <v>320</v>
      </c>
      <c r="E57" s="57" t="s">
        <v>322</v>
      </c>
      <c r="F57" s="57"/>
    </row>
    <row r="58" ht="15" spans="1:6">
      <c r="A58" s="55" t="s">
        <v>323</v>
      </c>
      <c r="B58" s="55" t="s">
        <v>324</v>
      </c>
      <c r="C58" s="55" t="s">
        <v>325</v>
      </c>
      <c r="D58" s="55" t="s">
        <v>324</v>
      </c>
      <c r="E58" s="57" t="s">
        <v>326</v>
      </c>
      <c r="F58" s="57"/>
    </row>
    <row r="59" ht="15" spans="1:6">
      <c r="A59" s="55" t="s">
        <v>327</v>
      </c>
      <c r="B59" s="55" t="s">
        <v>328</v>
      </c>
      <c r="C59" s="55" t="s">
        <v>225</v>
      </c>
      <c r="D59" s="55" t="s">
        <v>328</v>
      </c>
      <c r="E59" s="57" t="s">
        <v>329</v>
      </c>
      <c r="F59" s="57"/>
    </row>
    <row r="60" ht="15" spans="1:6">
      <c r="A60" s="55"/>
      <c r="B60" s="55" t="s">
        <v>330</v>
      </c>
      <c r="C60" s="55" t="s">
        <v>331</v>
      </c>
      <c r="D60" s="55" t="s">
        <v>330</v>
      </c>
      <c r="E60" s="57"/>
      <c r="F60" s="57"/>
    </row>
    <row r="61" ht="15" spans="1:6">
      <c r="A61" s="55"/>
      <c r="B61" s="55" t="s">
        <v>332</v>
      </c>
      <c r="C61" s="55" t="s">
        <v>333</v>
      </c>
      <c r="D61" s="55" t="s">
        <v>332</v>
      </c>
      <c r="E61" s="57"/>
      <c r="F61" s="57"/>
    </row>
    <row r="62" ht="15" spans="1:6">
      <c r="A62" s="55"/>
      <c r="B62" s="55" t="s">
        <v>334</v>
      </c>
      <c r="C62" s="55" t="s">
        <v>165</v>
      </c>
      <c r="D62" s="55" t="s">
        <v>334</v>
      </c>
      <c r="E62" s="57"/>
      <c r="F62" s="57"/>
    </row>
    <row r="63" ht="15" spans="1:6">
      <c r="A63" s="55"/>
      <c r="B63" s="55" t="s">
        <v>335</v>
      </c>
      <c r="C63" s="55" t="s">
        <v>336</v>
      </c>
      <c r="D63" s="55" t="s">
        <v>335</v>
      </c>
      <c r="E63" s="57"/>
      <c r="F63" s="57"/>
    </row>
    <row r="64" ht="15" spans="1:6">
      <c r="A64" s="55"/>
      <c r="B64" s="55" t="s">
        <v>337</v>
      </c>
      <c r="C64" s="55" t="s">
        <v>338</v>
      </c>
      <c r="D64" s="55" t="s">
        <v>337</v>
      </c>
      <c r="E64" s="57"/>
      <c r="F64" s="57"/>
    </row>
    <row r="65" ht="15" spans="1:6">
      <c r="A65" s="55"/>
      <c r="B65" s="55" t="s">
        <v>339</v>
      </c>
      <c r="C65" s="55" t="s">
        <v>340</v>
      </c>
      <c r="D65" s="55" t="s">
        <v>339</v>
      </c>
      <c r="E65" s="57"/>
      <c r="F65" s="57"/>
    </row>
    <row r="66" ht="15" spans="1:6">
      <c r="A66" s="55"/>
      <c r="B66" s="55" t="s">
        <v>341</v>
      </c>
      <c r="C66" s="55" t="s">
        <v>342</v>
      </c>
      <c r="D66" s="55" t="s">
        <v>341</v>
      </c>
      <c r="E66" s="57"/>
      <c r="F66" s="57"/>
    </row>
    <row r="67" ht="15" spans="1:6">
      <c r="A67" s="55"/>
      <c r="B67" s="55" t="s">
        <v>343</v>
      </c>
      <c r="C67" s="55" t="s">
        <v>344</v>
      </c>
      <c r="D67" s="55" t="s">
        <v>343</v>
      </c>
      <c r="E67" s="57"/>
      <c r="F67" s="57"/>
    </row>
    <row r="68" ht="15" spans="1:6">
      <c r="A68" s="55"/>
      <c r="B68" s="55" t="s">
        <v>345</v>
      </c>
      <c r="C68" s="55" t="s">
        <v>346</v>
      </c>
      <c r="D68" s="55" t="s">
        <v>345</v>
      </c>
      <c r="E68" s="57"/>
      <c r="F68" s="57"/>
    </row>
    <row r="69" ht="15" spans="1:6">
      <c r="A69" s="55"/>
      <c r="B69" s="55" t="s">
        <v>347</v>
      </c>
      <c r="C69" s="55" t="s">
        <v>348</v>
      </c>
      <c r="D69" s="55" t="s">
        <v>347</v>
      </c>
      <c r="E69" s="57"/>
      <c r="F69" s="57"/>
    </row>
    <row r="70" ht="15" spans="1:6">
      <c r="A70" s="55"/>
      <c r="B70" s="55" t="s">
        <v>349</v>
      </c>
      <c r="C70" s="55" t="s">
        <v>350</v>
      </c>
      <c r="D70" s="55" t="s">
        <v>349</v>
      </c>
      <c r="E70" s="57"/>
      <c r="F70" s="57"/>
    </row>
    <row r="71" ht="15" spans="1:6">
      <c r="A71" s="55"/>
      <c r="B71" s="55" t="s">
        <v>105</v>
      </c>
      <c r="C71" s="55" t="s">
        <v>105</v>
      </c>
      <c r="D71" s="55" t="s">
        <v>105</v>
      </c>
      <c r="E71" s="57"/>
      <c r="F71" s="57"/>
    </row>
    <row r="72" ht="15" spans="1:6">
      <c r="A72" s="55"/>
      <c r="B72" s="55" t="s">
        <v>351</v>
      </c>
      <c r="C72" s="55" t="s">
        <v>352</v>
      </c>
      <c r="D72" s="55" t="s">
        <v>351</v>
      </c>
      <c r="E72" s="57"/>
      <c r="F72" s="57"/>
    </row>
    <row r="73" ht="15" spans="1:6">
      <c r="A73" s="55"/>
      <c r="B73" s="55" t="s">
        <v>353</v>
      </c>
      <c r="C73" s="55" t="s">
        <v>353</v>
      </c>
      <c r="D73" s="55" t="s">
        <v>353</v>
      </c>
      <c r="E73" s="57"/>
      <c r="F73" s="57"/>
    </row>
    <row r="74" ht="15" spans="1:6">
      <c r="A74" s="55"/>
      <c r="B74" s="55" t="s">
        <v>354</v>
      </c>
      <c r="C74" s="55" t="s">
        <v>354</v>
      </c>
      <c r="D74" s="55" t="s">
        <v>354</v>
      </c>
      <c r="E74" s="57"/>
      <c r="F74" s="57"/>
    </row>
    <row r="75" ht="15" spans="1:6">
      <c r="A75" s="55"/>
      <c r="B75" s="55" t="s">
        <v>355</v>
      </c>
      <c r="C75" s="55" t="s">
        <v>356</v>
      </c>
      <c r="D75" s="55"/>
      <c r="E75" s="57"/>
      <c r="F75" s="57"/>
    </row>
    <row r="76" ht="15" spans="1:6">
      <c r="A76" s="55"/>
      <c r="B76" s="55" t="s">
        <v>357</v>
      </c>
      <c r="C76" s="55" t="s">
        <v>358</v>
      </c>
      <c r="D76" s="55"/>
      <c r="E76" s="57"/>
      <c r="F76" s="57"/>
    </row>
    <row r="77" ht="15" spans="1:6">
      <c r="A77" s="55"/>
      <c r="B77" s="55" t="s">
        <v>359</v>
      </c>
      <c r="C77" s="55" t="s">
        <v>360</v>
      </c>
      <c r="D77" s="55"/>
      <c r="E77" s="57"/>
      <c r="F77" s="57"/>
    </row>
    <row r="78" ht="15" spans="1:6">
      <c r="A78" s="55"/>
      <c r="B78" s="55" t="s">
        <v>361</v>
      </c>
      <c r="C78" s="55" t="s">
        <v>362</v>
      </c>
      <c r="D78" s="55"/>
      <c r="E78" s="57"/>
      <c r="F78" s="57"/>
    </row>
    <row r="79" ht="15" spans="1:6">
      <c r="A79" s="55"/>
      <c r="B79" s="55" t="s">
        <v>363</v>
      </c>
      <c r="C79" s="55" t="s">
        <v>364</v>
      </c>
      <c r="D79" s="55"/>
      <c r="E79" s="57"/>
      <c r="F79" s="57"/>
    </row>
    <row r="80" ht="15" spans="1:6">
      <c r="A80" s="55"/>
      <c r="B80" s="55" t="s">
        <v>365</v>
      </c>
      <c r="C80" s="55" t="s">
        <v>366</v>
      </c>
      <c r="D80" s="55"/>
      <c r="E80" s="57"/>
      <c r="F80" s="57"/>
    </row>
    <row r="81" ht="15" spans="1:6">
      <c r="A81" s="55"/>
      <c r="B81" s="55" t="s">
        <v>367</v>
      </c>
      <c r="C81" s="55" t="s">
        <v>368</v>
      </c>
      <c r="D81" s="55"/>
      <c r="E81" s="57"/>
      <c r="F81" s="57"/>
    </row>
    <row r="82" ht="15" spans="1:6">
      <c r="A82" s="55"/>
      <c r="B82" s="55" t="s">
        <v>369</v>
      </c>
      <c r="C82" s="55" t="s">
        <v>370</v>
      </c>
      <c r="D82" s="55"/>
      <c r="E82" s="57"/>
      <c r="F82" s="57"/>
    </row>
    <row r="83" ht="15" spans="1:6">
      <c r="A83" s="55"/>
      <c r="B83" s="55" t="s">
        <v>371</v>
      </c>
      <c r="C83" s="55" t="s">
        <v>372</v>
      </c>
      <c r="D83" s="55"/>
      <c r="E83" s="57"/>
      <c r="F83" s="57"/>
    </row>
    <row r="84" ht="15" spans="1:6">
      <c r="A84" s="55"/>
      <c r="B84" s="55" t="s">
        <v>373</v>
      </c>
      <c r="C84" s="55" t="s">
        <v>374</v>
      </c>
      <c r="D84" s="55"/>
      <c r="E84" s="57"/>
      <c r="F84" s="57"/>
    </row>
    <row r="85" ht="15" spans="1:6">
      <c r="A85" s="55"/>
      <c r="B85" s="55" t="s">
        <v>375</v>
      </c>
      <c r="C85" s="55" t="s">
        <v>376</v>
      </c>
      <c r="D85" s="55"/>
      <c r="E85" s="57"/>
      <c r="F85" s="57"/>
    </row>
    <row r="86" ht="15" spans="1:6">
      <c r="A86" s="55"/>
      <c r="B86" s="55" t="s">
        <v>377</v>
      </c>
      <c r="C86" s="55" t="s">
        <v>378</v>
      </c>
      <c r="D86" s="55"/>
      <c r="E86" s="57"/>
      <c r="F86" s="57"/>
    </row>
    <row r="87" ht="15" spans="1:6">
      <c r="A87" s="55"/>
      <c r="B87" s="55" t="s">
        <v>379</v>
      </c>
      <c r="C87" s="55" t="s">
        <v>380</v>
      </c>
      <c r="D87" s="55"/>
      <c r="E87" s="57"/>
      <c r="F87" s="57"/>
    </row>
    <row r="88" ht="15" spans="1:6">
      <c r="A88" s="55"/>
      <c r="B88" s="55" t="s">
        <v>381</v>
      </c>
      <c r="C88" s="55" t="s">
        <v>382</v>
      </c>
      <c r="D88" s="55"/>
      <c r="E88" s="57"/>
      <c r="F88" s="57"/>
    </row>
    <row r="89" ht="15" spans="1:6">
      <c r="A89" s="55"/>
      <c r="B89" s="55" t="s">
        <v>383</v>
      </c>
      <c r="C89" s="55" t="s">
        <v>384</v>
      </c>
      <c r="D89" s="55"/>
      <c r="E89" s="57"/>
      <c r="F89" s="57"/>
    </row>
    <row r="90" ht="15" spans="1:6">
      <c r="A90" s="55"/>
      <c r="B90" s="55" t="s">
        <v>385</v>
      </c>
      <c r="C90" s="55" t="s">
        <v>386</v>
      </c>
      <c r="D90" s="55"/>
      <c r="E90" s="57"/>
      <c r="F90" s="57"/>
    </row>
    <row r="91" ht="15" spans="1:6">
      <c r="A91" s="55"/>
      <c r="B91" s="55" t="s">
        <v>387</v>
      </c>
      <c r="C91" s="55" t="s">
        <v>388</v>
      </c>
      <c r="D91" s="55"/>
      <c r="E91" s="57"/>
      <c r="F91" s="57"/>
    </row>
    <row r="92" ht="15" spans="1:6">
      <c r="A92" s="55"/>
      <c r="B92" s="55" t="s">
        <v>389</v>
      </c>
      <c r="C92" s="55" t="s">
        <v>390</v>
      </c>
      <c r="D92" s="55"/>
      <c r="E92" s="57"/>
      <c r="F92" s="57"/>
    </row>
    <row r="93" ht="15" spans="1:6">
      <c r="A93" s="55"/>
      <c r="B93" s="55" t="s">
        <v>391</v>
      </c>
      <c r="C93" s="55" t="s">
        <v>392</v>
      </c>
      <c r="D93" s="55"/>
      <c r="E93" s="57"/>
      <c r="F93" s="57"/>
    </row>
    <row r="94" ht="15" spans="1:6">
      <c r="A94" s="55"/>
      <c r="B94" s="55" t="s">
        <v>393</v>
      </c>
      <c r="C94" s="55" t="s">
        <v>394</v>
      </c>
      <c r="D94" s="55"/>
      <c r="E94" s="57"/>
      <c r="F94" s="57"/>
    </row>
    <row r="95" ht="15" spans="1:6">
      <c r="A95" s="55"/>
      <c r="B95" s="55" t="s">
        <v>395</v>
      </c>
      <c r="C95" s="55" t="s">
        <v>396</v>
      </c>
      <c r="D95" s="55"/>
      <c r="E95" s="57"/>
      <c r="F95" s="57"/>
    </row>
    <row r="96" ht="15" spans="1:6">
      <c r="A96" s="55"/>
      <c r="B96" s="55" t="s">
        <v>397</v>
      </c>
      <c r="C96" s="55" t="s">
        <v>398</v>
      </c>
      <c r="D96" s="55"/>
      <c r="E96" s="57"/>
      <c r="F96" s="57"/>
    </row>
    <row r="97" ht="15" spans="1:6">
      <c r="A97" s="55"/>
      <c r="B97" s="55" t="s">
        <v>399</v>
      </c>
      <c r="C97" s="55" t="s">
        <v>400</v>
      </c>
      <c r="D97" s="55"/>
      <c r="E97" s="57"/>
      <c r="F97" s="57"/>
    </row>
    <row r="98" ht="15" spans="1:6">
      <c r="A98" s="55"/>
      <c r="B98" s="55" t="s">
        <v>401</v>
      </c>
      <c r="C98" s="55" t="s">
        <v>402</v>
      </c>
      <c r="D98" s="55"/>
      <c r="E98" s="57"/>
      <c r="F98" s="57"/>
    </row>
    <row r="99" ht="15" spans="1:6">
      <c r="A99" s="55"/>
      <c r="B99" s="55" t="s">
        <v>403</v>
      </c>
      <c r="C99" s="55" t="s">
        <v>404</v>
      </c>
      <c r="D99" s="55"/>
      <c r="E99" s="57"/>
      <c r="F99" s="57"/>
    </row>
    <row r="100" ht="15" spans="1:6">
      <c r="A100" s="55"/>
      <c r="B100" s="55" t="s">
        <v>405</v>
      </c>
      <c r="C100" s="55" t="s">
        <v>406</v>
      </c>
      <c r="D100" s="55"/>
      <c r="E100" s="57"/>
      <c r="F100" s="57"/>
    </row>
    <row r="101" ht="15" spans="1:6">
      <c r="A101" s="55"/>
      <c r="B101" s="55" t="s">
        <v>407</v>
      </c>
      <c r="C101" s="55" t="s">
        <v>408</v>
      </c>
      <c r="D101" s="55"/>
      <c r="E101" s="57"/>
      <c r="F101" s="57"/>
    </row>
    <row r="102" ht="15" spans="1:6">
      <c r="A102" s="55"/>
      <c r="B102" s="55" t="s">
        <v>409</v>
      </c>
      <c r="C102" s="55" t="s">
        <v>410</v>
      </c>
      <c r="D102" s="55"/>
      <c r="E102" s="57"/>
      <c r="F102" s="57"/>
    </row>
    <row r="103" ht="15" spans="1:6">
      <c r="A103" s="55"/>
      <c r="B103" s="55" t="s">
        <v>411</v>
      </c>
      <c r="C103" s="55" t="s">
        <v>412</v>
      </c>
      <c r="D103" s="55"/>
      <c r="E103" s="57"/>
      <c r="F103" s="57"/>
    </row>
    <row r="104" ht="15" spans="1:6">
      <c r="A104" s="55"/>
      <c r="B104" s="55" t="s">
        <v>413</v>
      </c>
      <c r="C104" s="55" t="s">
        <v>414</v>
      </c>
      <c r="D104" s="55"/>
      <c r="E104" s="57"/>
      <c r="F104" s="57"/>
    </row>
    <row r="105" ht="15" spans="1:6">
      <c r="A105" s="55"/>
      <c r="B105" s="55" t="s">
        <v>415</v>
      </c>
      <c r="C105" s="55" t="s">
        <v>416</v>
      </c>
      <c r="D105" s="55"/>
      <c r="E105" s="57"/>
      <c r="F105" s="57"/>
    </row>
    <row r="106" ht="15" spans="1:6">
      <c r="A106" s="55"/>
      <c r="B106" s="55" t="s">
        <v>417</v>
      </c>
      <c r="C106" s="55" t="s">
        <v>418</v>
      </c>
      <c r="D106" s="55"/>
      <c r="E106" s="57"/>
      <c r="F106" s="57"/>
    </row>
    <row r="107" ht="15" spans="1:6">
      <c r="A107" s="55"/>
      <c r="B107" s="55" t="s">
        <v>419</v>
      </c>
      <c r="C107" s="55" t="s">
        <v>420</v>
      </c>
      <c r="D107" s="55"/>
      <c r="E107" s="57"/>
      <c r="F107" s="57"/>
    </row>
    <row r="108" ht="15" spans="1:6">
      <c r="A108" s="55"/>
      <c r="B108" s="55" t="s">
        <v>421</v>
      </c>
      <c r="C108" s="55" t="s">
        <v>422</v>
      </c>
      <c r="D108" s="55"/>
      <c r="E108" s="57"/>
      <c r="F108" s="57"/>
    </row>
    <row r="109" ht="15" spans="1:6">
      <c r="A109" s="55"/>
      <c r="B109" s="55" t="s">
        <v>423</v>
      </c>
      <c r="C109" s="55" t="s">
        <v>424</v>
      </c>
      <c r="D109" s="55"/>
      <c r="E109" s="57"/>
      <c r="F109" s="57"/>
    </row>
    <row r="110" ht="15" spans="1:6">
      <c r="A110" s="55"/>
      <c r="B110" s="55" t="s">
        <v>425</v>
      </c>
      <c r="C110" s="55" t="s">
        <v>426</v>
      </c>
      <c r="D110" s="55"/>
      <c r="E110" s="57"/>
      <c r="F110" s="57"/>
    </row>
    <row r="111" ht="15" spans="1:6">
      <c r="A111" s="55"/>
      <c r="B111" s="55" t="s">
        <v>427</v>
      </c>
      <c r="C111" s="55" t="s">
        <v>428</v>
      </c>
      <c r="D111" s="55"/>
      <c r="E111" s="57"/>
      <c r="F111" s="57"/>
    </row>
    <row r="112" ht="15" spans="1:6">
      <c r="A112" s="55"/>
      <c r="B112" s="55" t="s">
        <v>429</v>
      </c>
      <c r="C112" s="55" t="s">
        <v>430</v>
      </c>
      <c r="D112" s="55"/>
      <c r="E112" s="57"/>
      <c r="F112" s="57"/>
    </row>
    <row r="113" ht="15" spans="1:6">
      <c r="A113" s="55"/>
      <c r="B113" s="55" t="s">
        <v>431</v>
      </c>
      <c r="C113" s="55" t="s">
        <v>432</v>
      </c>
      <c r="D113" s="55"/>
      <c r="E113" s="57"/>
      <c r="F113" s="57"/>
    </row>
    <row r="114" ht="15" spans="1:6">
      <c r="A114" s="55"/>
      <c r="B114" s="55" t="s">
        <v>433</v>
      </c>
      <c r="C114" s="55" t="s">
        <v>434</v>
      </c>
      <c r="D114" s="55"/>
      <c r="E114" s="57"/>
      <c r="F114" s="57"/>
    </row>
    <row r="115" ht="15" spans="1:6">
      <c r="A115" s="55"/>
      <c r="B115" s="55" t="s">
        <v>435</v>
      </c>
      <c r="C115" s="55" t="s">
        <v>436</v>
      </c>
      <c r="D115" s="55"/>
      <c r="E115" s="57"/>
      <c r="F115" s="57"/>
    </row>
    <row r="116" ht="15" spans="1:6">
      <c r="A116" s="55"/>
      <c r="B116" s="55" t="s">
        <v>437</v>
      </c>
      <c r="C116" s="55" t="s">
        <v>438</v>
      </c>
      <c r="D116" s="55"/>
      <c r="E116" s="57"/>
      <c r="F116" s="57"/>
    </row>
    <row r="117" ht="15" spans="1:6">
      <c r="A117" s="55"/>
      <c r="B117" s="55" t="s">
        <v>439</v>
      </c>
      <c r="C117" s="55" t="s">
        <v>440</v>
      </c>
      <c r="D117" s="55"/>
      <c r="E117" s="57"/>
      <c r="F117" s="57"/>
    </row>
    <row r="118" ht="15" spans="1:6">
      <c r="A118" s="55"/>
      <c r="B118" s="55" t="s">
        <v>441</v>
      </c>
      <c r="C118" s="55" t="s">
        <v>442</v>
      </c>
      <c r="D118" s="55"/>
      <c r="E118" s="57"/>
      <c r="F118" s="57"/>
    </row>
    <row r="119" ht="15" spans="1:6">
      <c r="A119" s="55"/>
      <c r="B119" s="55" t="s">
        <v>443</v>
      </c>
      <c r="C119" s="55" t="s">
        <v>444</v>
      </c>
      <c r="D119" s="55" t="s">
        <v>443</v>
      </c>
      <c r="E119" s="57"/>
      <c r="F119" s="57"/>
    </row>
    <row r="120" ht="15" spans="1:6">
      <c r="A120" s="55"/>
      <c r="B120" s="55" t="s">
        <v>445</v>
      </c>
      <c r="C120" s="55" t="s">
        <v>446</v>
      </c>
      <c r="D120" s="55" t="s">
        <v>445</v>
      </c>
      <c r="E120" s="57"/>
      <c r="F120" s="57"/>
    </row>
    <row r="121" ht="15" spans="1:6">
      <c r="A121" s="55"/>
      <c r="B121" s="55" t="s">
        <v>447</v>
      </c>
      <c r="C121" s="55" t="s">
        <v>448</v>
      </c>
      <c r="D121" s="55" t="s">
        <v>447</v>
      </c>
      <c r="E121" s="57"/>
      <c r="F121" s="57"/>
    </row>
    <row r="122" ht="15" spans="1:6">
      <c r="A122" s="55"/>
      <c r="B122" s="55" t="s">
        <v>449</v>
      </c>
      <c r="C122" s="55" t="s">
        <v>450</v>
      </c>
      <c r="D122" s="55" t="s">
        <v>449</v>
      </c>
      <c r="E122" s="57"/>
      <c r="F122" s="57"/>
    </row>
    <row r="123" ht="15" spans="1:6">
      <c r="A123" s="55"/>
      <c r="B123" s="55" t="s">
        <v>451</v>
      </c>
      <c r="C123" s="55" t="s">
        <v>452</v>
      </c>
      <c r="D123" s="55" t="s">
        <v>451</v>
      </c>
      <c r="E123" s="57"/>
      <c r="F123" s="57"/>
    </row>
    <row r="124" ht="15" spans="1:6">
      <c r="A124" s="55"/>
      <c r="B124" s="55" t="s">
        <v>453</v>
      </c>
      <c r="C124" s="55" t="s">
        <v>454</v>
      </c>
      <c r="D124" s="55" t="s">
        <v>453</v>
      </c>
      <c r="E124" s="57"/>
      <c r="F124" s="57"/>
    </row>
    <row r="125" ht="15" spans="1:6">
      <c r="A125" s="55"/>
      <c r="B125" s="55" t="s">
        <v>455</v>
      </c>
      <c r="C125" s="55" t="s">
        <v>456</v>
      </c>
      <c r="D125" s="55" t="s">
        <v>455</v>
      </c>
      <c r="E125" s="57"/>
      <c r="F125" s="57"/>
    </row>
    <row r="126" ht="15" spans="1:6">
      <c r="A126" s="55"/>
      <c r="B126" s="55" t="s">
        <v>457</v>
      </c>
      <c r="C126" s="55" t="s">
        <v>458</v>
      </c>
      <c r="D126" s="55" t="s">
        <v>457</v>
      </c>
      <c r="E126" s="57"/>
      <c r="F126" s="57"/>
    </row>
    <row r="127" ht="15" spans="1:6">
      <c r="A127" s="55"/>
      <c r="B127" s="55" t="s">
        <v>459</v>
      </c>
      <c r="C127" s="55" t="s">
        <v>460</v>
      </c>
      <c r="D127" s="55" t="s">
        <v>459</v>
      </c>
      <c r="E127" s="57"/>
      <c r="F127" s="57"/>
    </row>
    <row r="128" ht="15" spans="1:6">
      <c r="A128" s="55"/>
      <c r="B128" s="55" t="s">
        <v>461</v>
      </c>
      <c r="C128" s="55" t="s">
        <v>462</v>
      </c>
      <c r="D128" s="55" t="s">
        <v>461</v>
      </c>
      <c r="E128" s="57"/>
      <c r="F128" s="57"/>
    </row>
    <row r="129" ht="15" spans="1:6">
      <c r="A129" s="55"/>
      <c r="B129" s="55" t="s">
        <v>463</v>
      </c>
      <c r="C129" s="55" t="s">
        <v>464</v>
      </c>
      <c r="D129" s="55" t="s">
        <v>463</v>
      </c>
      <c r="E129" s="57"/>
      <c r="F129" s="57"/>
    </row>
    <row r="130" ht="15" spans="1:6">
      <c r="A130" s="55"/>
      <c r="B130" s="55" t="s">
        <v>465</v>
      </c>
      <c r="C130" s="55" t="s">
        <v>466</v>
      </c>
      <c r="D130" s="55" t="s">
        <v>465</v>
      </c>
      <c r="E130" s="57"/>
      <c r="F130" s="57"/>
    </row>
    <row r="131" ht="15" spans="1:6">
      <c r="A131" s="55"/>
      <c r="B131" s="55" t="s">
        <v>467</v>
      </c>
      <c r="C131" s="55" t="s">
        <v>468</v>
      </c>
      <c r="D131" s="55" t="s">
        <v>467</v>
      </c>
      <c r="E131" s="57"/>
      <c r="F131" s="57"/>
    </row>
    <row r="132" ht="15" spans="1:6">
      <c r="A132" s="55"/>
      <c r="B132" s="55" t="s">
        <v>469</v>
      </c>
      <c r="C132" s="55" t="s">
        <v>470</v>
      </c>
      <c r="D132" s="55" t="s">
        <v>469</v>
      </c>
      <c r="E132" s="57"/>
      <c r="F132" s="57"/>
    </row>
    <row r="133" ht="15" spans="1:6">
      <c r="A133" s="55"/>
      <c r="B133" s="55" t="s">
        <v>471</v>
      </c>
      <c r="C133" s="55" t="s">
        <v>472</v>
      </c>
      <c r="D133" s="55" t="s">
        <v>471</v>
      </c>
      <c r="E133" s="57"/>
      <c r="F133" s="57"/>
    </row>
    <row r="134" ht="15" spans="1:6">
      <c r="A134" s="55"/>
      <c r="B134" s="55" t="s">
        <v>473</v>
      </c>
      <c r="C134" s="55" t="s">
        <v>474</v>
      </c>
      <c r="D134" s="55" t="s">
        <v>473</v>
      </c>
      <c r="E134" s="57"/>
      <c r="F134" s="57"/>
    </row>
    <row r="135" ht="15" spans="1:6">
      <c r="A135" s="55"/>
      <c r="B135" s="55" t="s">
        <v>475</v>
      </c>
      <c r="C135" s="55" t="s">
        <v>476</v>
      </c>
      <c r="D135" s="55" t="s">
        <v>475</v>
      </c>
      <c r="E135" s="57"/>
      <c r="F135" s="57"/>
    </row>
    <row r="136" ht="15" spans="1:6">
      <c r="A136" s="55"/>
      <c r="B136" s="55" t="s">
        <v>477</v>
      </c>
      <c r="C136" s="55" t="s">
        <v>478</v>
      </c>
      <c r="D136" s="55"/>
      <c r="E136" s="57"/>
      <c r="F136" s="57"/>
    </row>
    <row r="137" ht="15" spans="1:6">
      <c r="A137" s="55"/>
      <c r="B137" s="55" t="s">
        <v>479</v>
      </c>
      <c r="C137" s="55" t="s">
        <v>480</v>
      </c>
      <c r="D137" s="55"/>
      <c r="E137" s="57"/>
      <c r="F137" s="57"/>
    </row>
    <row r="138" ht="15" spans="1:6">
      <c r="A138" s="55"/>
      <c r="B138" s="55" t="s">
        <v>481</v>
      </c>
      <c r="C138" s="55" t="s">
        <v>482</v>
      </c>
      <c r="D138" s="55"/>
      <c r="E138" s="57"/>
      <c r="F138" s="57"/>
    </row>
    <row r="139" ht="15" spans="1:6">
      <c r="A139" s="55"/>
      <c r="B139" s="55" t="s">
        <v>483</v>
      </c>
      <c r="C139" s="55" t="s">
        <v>484</v>
      </c>
      <c r="D139" s="55"/>
      <c r="E139" s="57"/>
      <c r="F139" s="57"/>
    </row>
    <row r="140" ht="15" spans="1:6">
      <c r="A140" s="55"/>
      <c r="B140" s="55" t="s">
        <v>431</v>
      </c>
      <c r="C140" s="55" t="s">
        <v>432</v>
      </c>
      <c r="D140" s="55"/>
      <c r="E140" s="57"/>
      <c r="F140" s="57"/>
    </row>
    <row r="141" ht="15" spans="1:6">
      <c r="A141" s="55"/>
      <c r="B141" s="55" t="s">
        <v>485</v>
      </c>
      <c r="C141" s="55" t="s">
        <v>486</v>
      </c>
      <c r="D141" s="55"/>
      <c r="E141" s="57"/>
      <c r="F141" s="57"/>
    </row>
    <row r="142" ht="15" spans="1:6">
      <c r="A142" s="55"/>
      <c r="B142" s="55" t="s">
        <v>487</v>
      </c>
      <c r="C142" s="55" t="s">
        <v>488</v>
      </c>
      <c r="D142" s="55"/>
      <c r="E142" s="57"/>
      <c r="F142" s="57"/>
    </row>
    <row r="143" ht="15" spans="1:6">
      <c r="A143" s="55"/>
      <c r="B143" s="55" t="s">
        <v>489</v>
      </c>
      <c r="C143" s="55" t="s">
        <v>490</v>
      </c>
      <c r="D143" s="55"/>
      <c r="E143" s="57"/>
      <c r="F143" s="57"/>
    </row>
    <row r="144" ht="15" spans="1:6">
      <c r="A144" s="55"/>
      <c r="B144" s="55" t="s">
        <v>491</v>
      </c>
      <c r="C144" s="55" t="s">
        <v>492</v>
      </c>
      <c r="D144" s="55"/>
      <c r="E144" s="57"/>
      <c r="F144" s="57"/>
    </row>
    <row r="145" ht="15" spans="1:6">
      <c r="A145" s="55"/>
      <c r="B145" s="55" t="s">
        <v>493</v>
      </c>
      <c r="C145" s="55" t="s">
        <v>494</v>
      </c>
      <c r="D145" s="55"/>
      <c r="E145" s="57"/>
      <c r="F145" s="57"/>
    </row>
    <row r="146" ht="15" spans="1:6">
      <c r="A146" s="55"/>
      <c r="B146" s="55" t="s">
        <v>495</v>
      </c>
      <c r="C146" s="55" t="s">
        <v>496</v>
      </c>
      <c r="D146" s="55"/>
      <c r="E146" s="57"/>
      <c r="F146" s="57"/>
    </row>
    <row r="147" ht="15" spans="1:6">
      <c r="A147" s="55"/>
      <c r="B147" s="55" t="s">
        <v>497</v>
      </c>
      <c r="C147" s="55" t="s">
        <v>498</v>
      </c>
      <c r="D147" s="55"/>
      <c r="E147" s="57"/>
      <c r="F147" s="57"/>
    </row>
    <row r="148" ht="15" spans="1:6">
      <c r="A148" s="55"/>
      <c r="B148" s="55" t="s">
        <v>499</v>
      </c>
      <c r="C148" s="55" t="s">
        <v>500</v>
      </c>
      <c r="D148" s="55"/>
      <c r="E148" s="57"/>
      <c r="F148" s="57"/>
    </row>
    <row r="149" ht="15" spans="1:6">
      <c r="A149" s="55"/>
      <c r="B149" s="55" t="s">
        <v>501</v>
      </c>
      <c r="C149" s="55" t="s">
        <v>502</v>
      </c>
      <c r="D149" s="55"/>
      <c r="E149" s="57"/>
      <c r="F149" s="57"/>
    </row>
    <row r="150" ht="15" spans="1:6">
      <c r="A150" s="55"/>
      <c r="B150" s="55" t="s">
        <v>503</v>
      </c>
      <c r="C150" s="55" t="s">
        <v>504</v>
      </c>
      <c r="D150" s="55"/>
      <c r="E150" s="57"/>
      <c r="F150" s="57"/>
    </row>
    <row r="151" ht="15" spans="1:6">
      <c r="A151" s="55"/>
      <c r="B151" s="55" t="s">
        <v>505</v>
      </c>
      <c r="C151" s="55" t="s">
        <v>506</v>
      </c>
      <c r="D151" s="55"/>
      <c r="E151" s="57"/>
      <c r="F151" s="57"/>
    </row>
    <row r="152" ht="15" spans="1:6">
      <c r="A152" s="55"/>
      <c r="B152" s="55" t="s">
        <v>507</v>
      </c>
      <c r="C152" s="55" t="s">
        <v>508</v>
      </c>
      <c r="D152" s="55"/>
      <c r="E152" s="57"/>
      <c r="F152" s="57"/>
    </row>
    <row r="153" ht="15" spans="1:6">
      <c r="A153" s="55"/>
      <c r="B153" s="55" t="s">
        <v>509</v>
      </c>
      <c r="C153" s="55" t="s">
        <v>510</v>
      </c>
      <c r="D153" s="55"/>
      <c r="E153" s="57"/>
      <c r="F153" s="57"/>
    </row>
    <row r="154" ht="15" spans="1:6">
      <c r="A154" s="55"/>
      <c r="B154" s="55" t="s">
        <v>511</v>
      </c>
      <c r="C154" s="55" t="s">
        <v>512</v>
      </c>
      <c r="D154" s="55"/>
      <c r="E154" s="57"/>
      <c r="F154" s="57"/>
    </row>
    <row r="155" ht="15" spans="1:6">
      <c r="A155" s="55"/>
      <c r="B155" s="55" t="s">
        <v>513</v>
      </c>
      <c r="C155" s="55" t="s">
        <v>514</v>
      </c>
      <c r="D155" s="55"/>
      <c r="E155" s="57"/>
      <c r="F155" s="57"/>
    </row>
    <row r="156" ht="15" spans="1:6">
      <c r="A156" s="55"/>
      <c r="B156" s="55" t="s">
        <v>515</v>
      </c>
      <c r="C156" s="55" t="s">
        <v>516</v>
      </c>
      <c r="D156" s="55"/>
      <c r="E156" s="57"/>
      <c r="F156" s="57"/>
    </row>
    <row r="157" ht="15" spans="1:6">
      <c r="A157" s="55"/>
      <c r="B157" s="55" t="s">
        <v>517</v>
      </c>
      <c r="C157" s="55" t="s">
        <v>518</v>
      </c>
      <c r="D157" s="55"/>
      <c r="E157" s="57"/>
      <c r="F157" s="57"/>
    </row>
    <row r="158" ht="15" spans="1:6">
      <c r="A158" s="55"/>
      <c r="B158" s="55" t="s">
        <v>519</v>
      </c>
      <c r="C158" s="55" t="s">
        <v>520</v>
      </c>
      <c r="D158" s="55"/>
      <c r="E158" s="57"/>
      <c r="F158" s="57"/>
    </row>
    <row r="159" ht="15" spans="1:6">
      <c r="A159" s="55"/>
      <c r="B159" s="55" t="s">
        <v>521</v>
      </c>
      <c r="C159" s="55" t="s">
        <v>522</v>
      </c>
      <c r="D159" s="55"/>
      <c r="E159" s="57"/>
      <c r="F159" s="57"/>
    </row>
    <row r="160" ht="15" spans="1:6">
      <c r="A160" s="55"/>
      <c r="B160" s="55" t="s">
        <v>523</v>
      </c>
      <c r="C160" s="55" t="s">
        <v>524</v>
      </c>
      <c r="D160" s="55"/>
      <c r="E160" s="57"/>
      <c r="F160" s="57"/>
    </row>
    <row r="161" ht="15" spans="1:6">
      <c r="A161" s="55"/>
      <c r="B161" s="55" t="s">
        <v>525</v>
      </c>
      <c r="C161" s="55" t="s">
        <v>526</v>
      </c>
      <c r="D161" s="55"/>
      <c r="E161" s="57"/>
      <c r="F161" s="57"/>
    </row>
    <row r="162" ht="15" spans="1:6">
      <c r="A162" s="55"/>
      <c r="B162" s="55" t="s">
        <v>527</v>
      </c>
      <c r="C162" s="55" t="s">
        <v>528</v>
      </c>
      <c r="D162" s="55"/>
      <c r="E162" s="57"/>
      <c r="F162" s="57"/>
    </row>
    <row r="163" ht="15" spans="1:6">
      <c r="A163" s="55"/>
      <c r="B163" s="55" t="s">
        <v>529</v>
      </c>
      <c r="C163" s="55" t="s">
        <v>530</v>
      </c>
      <c r="D163" s="55"/>
      <c r="E163" s="57"/>
      <c r="F163" s="57"/>
    </row>
    <row r="164" ht="15" spans="1:6">
      <c r="A164" s="55"/>
      <c r="B164" s="55" t="s">
        <v>531</v>
      </c>
      <c r="C164" s="55" t="s">
        <v>532</v>
      </c>
      <c r="D164" s="55"/>
      <c r="E164" s="57"/>
      <c r="F164" s="57"/>
    </row>
    <row r="165" ht="15" spans="1:6">
      <c r="A165" s="55"/>
      <c r="B165" s="55" t="s">
        <v>533</v>
      </c>
      <c r="C165" s="55" t="s">
        <v>534</v>
      </c>
      <c r="D165" s="55"/>
      <c r="E165" s="57"/>
      <c r="F165" s="57"/>
    </row>
    <row r="166" ht="15" spans="1:6">
      <c r="A166" s="55"/>
      <c r="B166" s="55" t="s">
        <v>535</v>
      </c>
      <c r="C166" s="55" t="s">
        <v>536</v>
      </c>
      <c r="D166" s="55"/>
      <c r="E166" s="57"/>
      <c r="F166" s="57"/>
    </row>
    <row r="167" ht="15" spans="1:6">
      <c r="A167" s="55"/>
      <c r="B167" s="55" t="s">
        <v>537</v>
      </c>
      <c r="C167" s="55" t="s">
        <v>538</v>
      </c>
      <c r="D167" s="55"/>
      <c r="E167" s="57"/>
      <c r="F167" s="57"/>
    </row>
    <row r="168" ht="15" spans="1:6">
      <c r="A168" s="55"/>
      <c r="B168" s="55" t="s">
        <v>539</v>
      </c>
      <c r="C168" s="55" t="s">
        <v>540</v>
      </c>
      <c r="D168" s="55"/>
      <c r="E168" s="57"/>
      <c r="F168" s="57"/>
    </row>
    <row r="169" ht="15" spans="1:6">
      <c r="A169" s="55"/>
      <c r="B169" s="55" t="s">
        <v>541</v>
      </c>
      <c r="C169" s="55" t="s">
        <v>542</v>
      </c>
      <c r="D169" s="55"/>
      <c r="E169" s="57"/>
      <c r="F169" s="57"/>
    </row>
    <row r="170" ht="15" spans="1:6">
      <c r="A170" s="55"/>
      <c r="B170" s="55" t="s">
        <v>543</v>
      </c>
      <c r="C170" s="55" t="s">
        <v>544</v>
      </c>
      <c r="D170" s="55"/>
      <c r="E170" s="57"/>
      <c r="F170" s="57"/>
    </row>
    <row r="171" ht="15" spans="1:6">
      <c r="A171" s="55"/>
      <c r="B171" s="55" t="s">
        <v>545</v>
      </c>
      <c r="C171" s="55" t="s">
        <v>546</v>
      </c>
      <c r="D171" s="55"/>
      <c r="E171" s="57"/>
      <c r="F171" s="57"/>
    </row>
    <row r="172" ht="15" spans="1:6">
      <c r="A172" s="55"/>
      <c r="B172" s="55" t="s">
        <v>547</v>
      </c>
      <c r="C172" s="55" t="s">
        <v>548</v>
      </c>
      <c r="D172" s="55"/>
      <c r="E172" s="57"/>
      <c r="F172" s="57"/>
    </row>
    <row r="173" ht="15" spans="1:6">
      <c r="A173" s="55"/>
      <c r="B173" s="55" t="s">
        <v>433</v>
      </c>
      <c r="C173" s="55" t="s">
        <v>434</v>
      </c>
      <c r="D173" s="55"/>
      <c r="E173" s="57"/>
      <c r="F173" s="57"/>
    </row>
    <row r="174" ht="15" spans="1:6">
      <c r="A174" s="55"/>
      <c r="B174" s="55" t="s">
        <v>549</v>
      </c>
      <c r="C174" s="55" t="s">
        <v>550</v>
      </c>
      <c r="D174" s="55"/>
      <c r="E174" s="57"/>
      <c r="F174" s="57"/>
    </row>
    <row r="175" ht="15" spans="1:6">
      <c r="A175" s="55"/>
      <c r="B175" s="55" t="s">
        <v>551</v>
      </c>
      <c r="C175" s="55" t="s">
        <v>552</v>
      </c>
      <c r="D175" s="55"/>
      <c r="E175" s="57"/>
      <c r="F175" s="57"/>
    </row>
    <row r="176" ht="15" spans="1:6">
      <c r="A176" s="55"/>
      <c r="B176" s="55" t="s">
        <v>553</v>
      </c>
      <c r="C176" s="55" t="s">
        <v>554</v>
      </c>
      <c r="D176" s="55"/>
      <c r="E176" s="57"/>
      <c r="F176" s="57"/>
    </row>
    <row r="177" ht="15" spans="1:6">
      <c r="A177" s="55"/>
      <c r="B177" s="55" t="s">
        <v>555</v>
      </c>
      <c r="C177" s="61" t="s">
        <v>556</v>
      </c>
      <c r="D177" s="55"/>
      <c r="E177" s="57"/>
      <c r="F177" s="57"/>
    </row>
    <row r="178" ht="15" spans="1:6">
      <c r="A178" s="55"/>
      <c r="B178" s="55" t="s">
        <v>557</v>
      </c>
      <c r="C178" s="55" t="s">
        <v>558</v>
      </c>
      <c r="D178" s="55"/>
      <c r="E178" s="57"/>
      <c r="F178" s="57"/>
    </row>
    <row r="179" ht="15" spans="1:6">
      <c r="A179" s="55"/>
      <c r="B179" s="55" t="s">
        <v>559</v>
      </c>
      <c r="C179" s="55" t="s">
        <v>560</v>
      </c>
      <c r="D179" s="55"/>
      <c r="E179" s="57"/>
      <c r="F179" s="57"/>
    </row>
    <row r="180" ht="15" spans="1:6">
      <c r="A180" s="55"/>
      <c r="B180" s="55" t="s">
        <v>561</v>
      </c>
      <c r="C180" s="55" t="s">
        <v>562</v>
      </c>
      <c r="D180" s="55"/>
      <c r="E180" s="57"/>
      <c r="F180" s="57"/>
    </row>
    <row r="181" ht="15" spans="1:6">
      <c r="A181" s="62" t="s">
        <v>563</v>
      </c>
      <c r="B181" s="55" t="s">
        <v>564</v>
      </c>
      <c r="C181" s="55" t="s">
        <v>565</v>
      </c>
      <c r="D181" s="55"/>
      <c r="E181" s="57"/>
      <c r="F181" s="57"/>
    </row>
    <row r="182" ht="15" spans="1:6">
      <c r="A182" s="55"/>
      <c r="B182" s="55" t="s">
        <v>566</v>
      </c>
      <c r="C182" s="55" t="s">
        <v>567</v>
      </c>
      <c r="D182" s="55"/>
      <c r="E182" s="57"/>
      <c r="F182" s="57"/>
    </row>
    <row r="183" ht="15" spans="1:6">
      <c r="A183" s="55"/>
      <c r="B183" s="55" t="s">
        <v>568</v>
      </c>
      <c r="C183" s="55" t="s">
        <v>540</v>
      </c>
      <c r="D183" s="55"/>
      <c r="E183" s="57"/>
      <c r="F183" s="57"/>
    </row>
    <row r="184" ht="15" spans="1:6">
      <c r="A184" s="55"/>
      <c r="B184" s="55" t="s">
        <v>569</v>
      </c>
      <c r="C184" s="55" t="s">
        <v>570</v>
      </c>
      <c r="D184" s="55"/>
      <c r="E184" s="57"/>
      <c r="F184" s="57"/>
    </row>
    <row r="185" ht="15" spans="1:6">
      <c r="A185" s="55"/>
      <c r="B185" s="55" t="s">
        <v>571</v>
      </c>
      <c r="C185" s="55" t="s">
        <v>572</v>
      </c>
      <c r="D185" s="55"/>
      <c r="E185" s="57"/>
      <c r="F185" s="57"/>
    </row>
    <row r="186" ht="15" spans="1:6">
      <c r="A186" s="55"/>
      <c r="B186" s="55" t="s">
        <v>573</v>
      </c>
      <c r="C186" s="55" t="s">
        <v>573</v>
      </c>
      <c r="D186" s="55"/>
      <c r="E186" s="57"/>
      <c r="F186" s="57"/>
    </row>
    <row r="187" ht="15" spans="1:6">
      <c r="A187" s="55"/>
      <c r="B187" s="55" t="s">
        <v>574</v>
      </c>
      <c r="C187" s="55" t="s">
        <v>574</v>
      </c>
      <c r="D187" s="55"/>
      <c r="E187" s="57"/>
      <c r="F187" s="57"/>
    </row>
    <row r="188" ht="15" spans="1:6">
      <c r="A188" s="55"/>
      <c r="B188" s="55" t="s">
        <v>575</v>
      </c>
      <c r="C188" s="55" t="s">
        <v>575</v>
      </c>
      <c r="D188" s="55"/>
      <c r="E188" s="57"/>
      <c r="F188" s="57"/>
    </row>
    <row r="189" ht="15" spans="1:6">
      <c r="A189" s="55"/>
      <c r="B189" s="55" t="s">
        <v>576</v>
      </c>
      <c r="C189" s="55" t="s">
        <v>576</v>
      </c>
      <c r="D189" s="55"/>
      <c r="E189" s="57"/>
      <c r="F189" s="57"/>
    </row>
    <row r="190" ht="15" spans="1:6">
      <c r="A190" s="55"/>
      <c r="B190" s="55" t="s">
        <v>577</v>
      </c>
      <c r="C190" s="55" t="s">
        <v>577</v>
      </c>
      <c r="D190" s="55"/>
      <c r="E190" s="57"/>
      <c r="F190" s="57"/>
    </row>
    <row r="191" ht="15" spans="1:6">
      <c r="A191" s="55"/>
      <c r="B191" s="55" t="s">
        <v>578</v>
      </c>
      <c r="C191" s="55" t="s">
        <v>578</v>
      </c>
      <c r="D191" s="55"/>
      <c r="E191" s="57"/>
      <c r="F191" s="57"/>
    </row>
    <row r="192" ht="15" spans="1:6">
      <c r="A192" s="55"/>
      <c r="B192" s="55" t="s">
        <v>579</v>
      </c>
      <c r="C192" s="55" t="s">
        <v>579</v>
      </c>
      <c r="D192" s="55"/>
      <c r="E192" s="57"/>
      <c r="F192" s="57"/>
    </row>
    <row r="193" ht="15" spans="1:6">
      <c r="A193" s="55"/>
      <c r="B193" s="55" t="s">
        <v>580</v>
      </c>
      <c r="C193" s="55" t="s">
        <v>580</v>
      </c>
      <c r="D193" s="55"/>
      <c r="E193" s="57"/>
      <c r="F193" s="57"/>
    </row>
    <row r="194" ht="15" spans="1:6">
      <c r="A194" s="55"/>
      <c r="B194" s="55" t="s">
        <v>581</v>
      </c>
      <c r="C194" s="55" t="s">
        <v>581</v>
      </c>
      <c r="D194" s="55"/>
      <c r="E194" s="57"/>
      <c r="F194" s="57"/>
    </row>
    <row r="195" ht="15" spans="1:6">
      <c r="A195" s="55"/>
      <c r="B195" s="55" t="s">
        <v>582</v>
      </c>
      <c r="C195" s="55" t="s">
        <v>582</v>
      </c>
      <c r="D195" s="55"/>
      <c r="E195" s="57"/>
      <c r="F195" s="57"/>
    </row>
    <row r="196" ht="15" spans="1:6">
      <c r="A196" s="55"/>
      <c r="B196" s="55" t="s">
        <v>583</v>
      </c>
      <c r="C196" s="55" t="s">
        <v>105</v>
      </c>
      <c r="D196" s="55"/>
      <c r="E196" s="57"/>
      <c r="F196" s="57"/>
    </row>
    <row r="197" ht="15" spans="1:6">
      <c r="A197" s="55"/>
      <c r="B197" s="55" t="s">
        <v>584</v>
      </c>
      <c r="C197" s="55" t="s">
        <v>585</v>
      </c>
      <c r="D197" s="55"/>
      <c r="E197" s="57"/>
      <c r="F197" s="57"/>
    </row>
    <row r="198" ht="15" spans="1:6">
      <c r="A198" s="55"/>
      <c r="B198" s="55" t="s">
        <v>586</v>
      </c>
      <c r="C198" s="55" t="s">
        <v>587</v>
      </c>
      <c r="D198" s="55"/>
      <c r="E198" s="57"/>
      <c r="F198" s="57"/>
    </row>
    <row r="199" ht="15" spans="1:6">
      <c r="A199" s="55"/>
      <c r="B199" s="55" t="s">
        <v>588</v>
      </c>
      <c r="C199" s="55" t="s">
        <v>589</v>
      </c>
      <c r="D199" s="55"/>
      <c r="E199" s="57"/>
      <c r="F199" s="57"/>
    </row>
    <row r="200" ht="15" spans="1:6">
      <c r="A200" s="55"/>
      <c r="B200" s="55" t="s">
        <v>590</v>
      </c>
      <c r="C200" s="55" t="s">
        <v>591</v>
      </c>
      <c r="D200" s="55"/>
      <c r="E200" s="57"/>
      <c r="F200" s="57"/>
    </row>
    <row r="201" ht="15" spans="1:6">
      <c r="A201" s="55"/>
      <c r="B201" s="55" t="s">
        <v>592</v>
      </c>
      <c r="C201" s="55" t="s">
        <v>593</v>
      </c>
      <c r="D201" s="55"/>
      <c r="E201" s="57"/>
      <c r="F201" s="57"/>
    </row>
    <row r="202" ht="15" spans="1:6">
      <c r="A202" s="55"/>
      <c r="B202" s="55" t="s">
        <v>594</v>
      </c>
      <c r="C202" s="55" t="s">
        <v>595</v>
      </c>
      <c r="D202" s="55"/>
      <c r="E202" s="57"/>
      <c r="F202" s="57"/>
    </row>
    <row r="203" ht="15" spans="1:6">
      <c r="A203" s="55"/>
      <c r="B203" s="55" t="s">
        <v>596</v>
      </c>
      <c r="C203" s="55" t="s">
        <v>597</v>
      </c>
      <c r="D203" s="55"/>
      <c r="E203" s="57"/>
      <c r="F203" s="57"/>
    </row>
    <row r="204" ht="15" spans="1:6">
      <c r="A204" s="55"/>
      <c r="B204" s="55" t="s">
        <v>598</v>
      </c>
      <c r="C204" s="55" t="s">
        <v>599</v>
      </c>
      <c r="D204" s="55"/>
      <c r="E204" s="57"/>
      <c r="F204" s="57"/>
    </row>
    <row r="205" ht="15" spans="1:6">
      <c r="A205" s="55"/>
      <c r="B205" s="55" t="s">
        <v>600</v>
      </c>
      <c r="C205" s="55" t="s">
        <v>601</v>
      </c>
      <c r="D205" s="55"/>
      <c r="E205" s="57"/>
      <c r="F205" s="57"/>
    </row>
    <row r="206" ht="15" spans="1:6">
      <c r="A206" s="55"/>
      <c r="B206" s="55" t="s">
        <v>602</v>
      </c>
      <c r="C206" s="55" t="s">
        <v>404</v>
      </c>
      <c r="D206" s="55"/>
      <c r="E206" s="57"/>
      <c r="F206" s="57"/>
    </row>
    <row r="207" ht="15" spans="1:6">
      <c r="A207" s="55"/>
      <c r="B207" s="55" t="s">
        <v>603</v>
      </c>
      <c r="C207" s="55" t="s">
        <v>604</v>
      </c>
      <c r="D207" s="55"/>
      <c r="E207" s="57"/>
      <c r="F207" s="57"/>
    </row>
    <row r="208" ht="15" spans="1:6">
      <c r="A208" s="55"/>
      <c r="B208" s="55" t="s">
        <v>605</v>
      </c>
      <c r="C208" s="55" t="s">
        <v>394</v>
      </c>
      <c r="D208" s="55"/>
      <c r="E208" s="57"/>
      <c r="F208" s="57"/>
    </row>
    <row r="209" ht="15" spans="1:6">
      <c r="A209" s="55"/>
      <c r="B209" s="55" t="s">
        <v>606</v>
      </c>
      <c r="C209" s="55" t="s">
        <v>607</v>
      </c>
      <c r="D209" s="55"/>
      <c r="E209" s="57"/>
      <c r="F209" s="57"/>
    </row>
    <row r="210" ht="15" spans="1:6">
      <c r="A210" s="55"/>
      <c r="B210" s="55" t="s">
        <v>608</v>
      </c>
      <c r="C210" s="55" t="s">
        <v>609</v>
      </c>
      <c r="D210" s="55"/>
      <c r="E210" s="57"/>
      <c r="F210" s="57"/>
    </row>
    <row r="211" ht="15" spans="1:6">
      <c r="A211" s="55"/>
      <c r="B211" s="55" t="s">
        <v>610</v>
      </c>
      <c r="C211" s="55" t="s">
        <v>611</v>
      </c>
      <c r="D211" s="55"/>
      <c r="E211" s="57"/>
      <c r="F211" s="57"/>
    </row>
    <row r="212" ht="15" spans="1:6">
      <c r="A212" s="55"/>
      <c r="B212" s="55" t="s">
        <v>612</v>
      </c>
      <c r="C212" s="55" t="s">
        <v>613</v>
      </c>
      <c r="D212" s="55"/>
      <c r="E212" s="57"/>
      <c r="F212" s="57"/>
    </row>
    <row r="213" ht="15" spans="1:6">
      <c r="A213" s="55"/>
      <c r="B213" s="55" t="s">
        <v>614</v>
      </c>
      <c r="C213" s="55" t="s">
        <v>615</v>
      </c>
      <c r="D213" s="55"/>
      <c r="E213" s="57"/>
      <c r="F213" s="57"/>
    </row>
    <row r="214" ht="15" spans="1:6">
      <c r="A214" s="55"/>
      <c r="B214" s="55" t="s">
        <v>616</v>
      </c>
      <c r="C214" s="55" t="s">
        <v>617</v>
      </c>
      <c r="D214" s="55"/>
      <c r="E214" s="57"/>
      <c r="F214" s="57"/>
    </row>
    <row r="215" ht="15" spans="1:6">
      <c r="A215" s="55"/>
      <c r="B215" s="55" t="s">
        <v>618</v>
      </c>
      <c r="C215" s="55" t="s">
        <v>619</v>
      </c>
      <c r="D215" s="55"/>
      <c r="E215" s="57"/>
      <c r="F215" s="57"/>
    </row>
    <row r="216" ht="15" spans="1:6">
      <c r="A216" s="55"/>
      <c r="B216" s="55" t="s">
        <v>620</v>
      </c>
      <c r="C216" s="55" t="s">
        <v>621</v>
      </c>
      <c r="D216" s="55"/>
      <c r="E216" s="57"/>
      <c r="F216" s="57"/>
    </row>
    <row r="217" ht="15" spans="1:6">
      <c r="A217" s="55"/>
      <c r="B217" s="55" t="s">
        <v>622</v>
      </c>
      <c r="C217" s="55" t="s">
        <v>623</v>
      </c>
      <c r="D217" s="55"/>
      <c r="E217" s="57"/>
      <c r="F217" s="57"/>
    </row>
    <row r="218" ht="15" spans="1:6">
      <c r="A218" s="55"/>
      <c r="B218" s="55" t="s">
        <v>624</v>
      </c>
      <c r="C218" s="55" t="s">
        <v>625</v>
      </c>
      <c r="D218" s="55"/>
      <c r="E218" s="57"/>
      <c r="F218" s="57"/>
    </row>
    <row r="219" ht="15" spans="1:6">
      <c r="A219" s="55"/>
      <c r="B219" s="55" t="s">
        <v>626</v>
      </c>
      <c r="C219" s="55"/>
      <c r="D219" s="55"/>
      <c r="E219" s="57"/>
      <c r="F219" s="57"/>
    </row>
    <row r="220" ht="15" spans="1:6">
      <c r="A220" s="55"/>
      <c r="B220" s="55" t="s">
        <v>627</v>
      </c>
      <c r="C220" s="55"/>
      <c r="D220" s="55"/>
      <c r="E220" s="57"/>
      <c r="F220" s="57"/>
    </row>
    <row r="221" ht="15" spans="1:6">
      <c r="A221" s="55"/>
      <c r="B221" s="55" t="s">
        <v>628</v>
      </c>
      <c r="C221" s="55"/>
      <c r="D221" s="55"/>
      <c r="E221" s="57"/>
      <c r="F221" s="57"/>
    </row>
    <row r="222" ht="15" spans="1:6">
      <c r="A222" s="55"/>
      <c r="B222" s="55" t="s">
        <v>629</v>
      </c>
      <c r="C222" s="55" t="s">
        <v>630</v>
      </c>
      <c r="D222" s="55"/>
      <c r="E222" s="57"/>
      <c r="F222" s="57"/>
    </row>
    <row r="223" ht="15" spans="1:6">
      <c r="A223" s="55"/>
      <c r="B223" s="55" t="s">
        <v>631</v>
      </c>
      <c r="C223" s="55" t="s">
        <v>632</v>
      </c>
      <c r="D223" s="55"/>
      <c r="E223" s="57"/>
      <c r="F223" s="57"/>
    </row>
    <row r="224" ht="15" spans="1:6">
      <c r="A224" s="55"/>
      <c r="B224" s="55" t="s">
        <v>633</v>
      </c>
      <c r="C224" s="55" t="s">
        <v>634</v>
      </c>
      <c r="D224" s="55"/>
      <c r="E224" s="57"/>
      <c r="F224" s="57"/>
    </row>
    <row r="225" ht="15" spans="1:6">
      <c r="A225" s="55"/>
      <c r="B225" s="55" t="s">
        <v>635</v>
      </c>
      <c r="C225" s="55" t="s">
        <v>636</v>
      </c>
      <c r="D225" s="55"/>
      <c r="E225" s="57"/>
      <c r="F225" s="57"/>
    </row>
    <row r="226" ht="15" spans="1:6">
      <c r="A226" s="55"/>
      <c r="B226" s="55" t="s">
        <v>637</v>
      </c>
      <c r="C226" s="55" t="s">
        <v>638</v>
      </c>
      <c r="D226" s="55"/>
      <c r="E226" s="57"/>
      <c r="F226" s="57"/>
    </row>
    <row r="227" ht="15" spans="1:6">
      <c r="A227" s="62" t="s">
        <v>639</v>
      </c>
      <c r="B227" s="55" t="s">
        <v>640</v>
      </c>
      <c r="C227" s="55" t="s">
        <v>641</v>
      </c>
      <c r="D227" s="55"/>
      <c r="E227" s="57"/>
      <c r="F227" s="57"/>
    </row>
    <row r="228" ht="15" spans="1:6">
      <c r="A228" s="55"/>
      <c r="B228" s="55" t="s">
        <v>642</v>
      </c>
      <c r="C228" s="55" t="s">
        <v>643</v>
      </c>
      <c r="D228" s="55"/>
      <c r="E228" s="57"/>
      <c r="F228" s="57"/>
    </row>
    <row r="229" ht="15" spans="1:6">
      <c r="A229" s="55"/>
      <c r="B229" s="55"/>
      <c r="C229" s="55"/>
      <c r="D229" s="55"/>
      <c r="E229" s="57"/>
      <c r="F229" s="57"/>
    </row>
    <row r="230" ht="15" spans="1:6">
      <c r="A230" s="55"/>
      <c r="B230" s="55"/>
      <c r="C230" s="55"/>
      <c r="D230" s="55"/>
      <c r="E230" s="57"/>
      <c r="F230" s="57"/>
    </row>
    <row r="231" ht="15" spans="1:6">
      <c r="A231" s="55"/>
      <c r="B231" s="55"/>
      <c r="C231" s="55"/>
      <c r="D231" s="55"/>
      <c r="E231" s="57"/>
      <c r="F231" s="57"/>
    </row>
    <row r="232" ht="15" spans="1:6">
      <c r="A232" s="55"/>
      <c r="B232" s="55"/>
      <c r="C232" s="55"/>
      <c r="D232" s="55"/>
      <c r="E232" s="57"/>
      <c r="F232" s="57"/>
    </row>
    <row r="233" ht="15" spans="1:6">
      <c r="A233" s="55"/>
      <c r="B233" s="55"/>
      <c r="C233" s="55"/>
      <c r="D233" s="55"/>
      <c r="E233" s="57"/>
      <c r="F233" s="57"/>
    </row>
    <row r="234" ht="15" spans="1:6">
      <c r="A234" s="55"/>
      <c r="B234" s="55"/>
      <c r="C234" s="55"/>
      <c r="D234" s="55"/>
      <c r="E234" s="57"/>
      <c r="F234" s="57"/>
    </row>
    <row r="235" ht="15" spans="1:6">
      <c r="A235" s="55"/>
      <c r="B235" s="55"/>
      <c r="C235" s="55"/>
      <c r="D235" s="55"/>
      <c r="E235" s="57"/>
      <c r="F235" s="57"/>
    </row>
    <row r="236" ht="15" spans="1:6">
      <c r="A236" s="55"/>
      <c r="B236" s="55"/>
      <c r="C236" s="55"/>
      <c r="D236" s="55"/>
      <c r="E236" s="57"/>
      <c r="F236" s="57"/>
    </row>
    <row r="237" ht="15" spans="1:6">
      <c r="A237" s="55"/>
      <c r="B237" s="55"/>
      <c r="C237" s="55"/>
      <c r="D237" s="55"/>
      <c r="E237" s="57"/>
      <c r="F237" s="57"/>
    </row>
    <row r="238" ht="15" spans="1:6">
      <c r="A238" s="55"/>
      <c r="B238" s="55"/>
      <c r="C238" s="55"/>
      <c r="D238" s="55"/>
      <c r="E238" s="57"/>
      <c r="F238" s="57"/>
    </row>
    <row r="239" ht="15" spans="1:6">
      <c r="A239" s="55"/>
      <c r="B239" s="55"/>
      <c r="C239" s="55"/>
      <c r="D239" s="55"/>
      <c r="E239" s="57"/>
      <c r="F239" s="57"/>
    </row>
    <row r="240" ht="15" spans="1:6">
      <c r="A240" s="55"/>
      <c r="B240" s="55"/>
      <c r="C240" s="55"/>
      <c r="D240" s="55"/>
      <c r="E240" s="57"/>
      <c r="F240" s="57"/>
    </row>
    <row r="241" ht="15" spans="1:6">
      <c r="A241" s="55"/>
      <c r="B241" s="55"/>
      <c r="C241" s="55"/>
      <c r="D241" s="55"/>
      <c r="E241" s="57"/>
      <c r="F241" s="57"/>
    </row>
    <row r="242" ht="15" spans="1:6">
      <c r="A242" s="55"/>
      <c r="B242" s="55"/>
      <c r="C242" s="55"/>
      <c r="D242" s="55"/>
      <c r="E242" s="57"/>
      <c r="F242" s="57"/>
    </row>
    <row r="243" ht="15" spans="1:6">
      <c r="A243" s="55"/>
      <c r="B243" s="55"/>
      <c r="C243" s="55"/>
      <c r="D243" s="55"/>
      <c r="E243" s="57"/>
      <c r="F243" s="57"/>
    </row>
    <row r="244" ht="15" spans="1:6">
      <c r="A244" s="55"/>
      <c r="B244" s="55"/>
      <c r="C244" s="55"/>
      <c r="D244" s="55"/>
      <c r="E244" s="57"/>
      <c r="F244" s="57"/>
    </row>
    <row r="245" ht="15" spans="1:6">
      <c r="A245" s="55"/>
      <c r="B245" s="55"/>
      <c r="C245" s="55"/>
      <c r="D245" s="55"/>
      <c r="E245" s="57"/>
      <c r="F245" s="57"/>
    </row>
    <row r="246" ht="15" spans="1:6">
      <c r="A246" s="55"/>
      <c r="B246" s="55"/>
      <c r="C246" s="55"/>
      <c r="D246" s="55"/>
      <c r="E246" s="57"/>
      <c r="F246" s="57"/>
    </row>
    <row r="247" ht="15" spans="1:6">
      <c r="A247" s="55"/>
      <c r="B247" s="55"/>
      <c r="C247" s="55"/>
      <c r="D247" s="55"/>
      <c r="E247" s="57"/>
      <c r="F247" s="57"/>
    </row>
    <row r="248" ht="15" spans="1:6">
      <c r="A248" s="55"/>
      <c r="B248" s="55"/>
      <c r="C248" s="55"/>
      <c r="D248" s="55"/>
      <c r="E248" s="57"/>
      <c r="F248" s="57"/>
    </row>
    <row r="249" ht="15" spans="1:6">
      <c r="A249" s="55"/>
      <c r="B249" s="55"/>
      <c r="C249" s="55"/>
      <c r="D249" s="55"/>
      <c r="E249" s="57"/>
      <c r="F249" s="57"/>
    </row>
    <row r="250" ht="15" spans="1:6">
      <c r="A250" s="55"/>
      <c r="B250" s="55"/>
      <c r="C250" s="55"/>
      <c r="D250" s="55"/>
      <c r="E250" s="57"/>
      <c r="F250" s="57"/>
    </row>
    <row r="251" ht="15" spans="1:6">
      <c r="A251" s="55"/>
      <c r="B251" s="55"/>
      <c r="C251" s="55"/>
      <c r="D251" s="55"/>
      <c r="E251" s="57"/>
      <c r="F251" s="57"/>
    </row>
    <row r="252" ht="15" spans="1:6">
      <c r="A252" s="55"/>
      <c r="B252" s="55"/>
      <c r="C252" s="55"/>
      <c r="D252" s="55"/>
      <c r="E252" s="57"/>
      <c r="F252" s="57"/>
    </row>
    <row r="253" ht="15" spans="1:6">
      <c r="A253" s="55"/>
      <c r="B253" s="55"/>
      <c r="C253" s="55"/>
      <c r="D253" s="55"/>
      <c r="E253" s="57"/>
      <c r="F253" s="57"/>
    </row>
    <row r="254" ht="15" spans="1:6">
      <c r="A254" s="55"/>
      <c r="B254" s="55"/>
      <c r="C254" s="55"/>
      <c r="D254" s="55"/>
      <c r="E254" s="57"/>
      <c r="F254" s="57"/>
    </row>
    <row r="255" ht="15" spans="1:6">
      <c r="A255" s="55"/>
      <c r="B255" s="55"/>
      <c r="C255" s="55"/>
      <c r="D255" s="55"/>
      <c r="E255" s="57"/>
      <c r="F255" s="57"/>
    </row>
    <row r="256" ht="15" spans="1:6">
      <c r="A256" s="55"/>
      <c r="B256" s="55"/>
      <c r="C256" s="55"/>
      <c r="D256" s="55"/>
      <c r="E256" s="57"/>
      <c r="F256" s="57"/>
    </row>
    <row r="257" ht="15" spans="1:6">
      <c r="A257" s="55"/>
      <c r="B257" s="55"/>
      <c r="C257" s="55"/>
      <c r="D257" s="55"/>
      <c r="E257" s="57"/>
      <c r="F257" s="57"/>
    </row>
    <row r="258" ht="15" spans="1:6">
      <c r="A258" s="55"/>
      <c r="B258" s="55"/>
      <c r="C258" s="55"/>
      <c r="D258" s="55"/>
      <c r="E258" s="57"/>
      <c r="F258" s="57"/>
    </row>
    <row r="259" ht="15" spans="1:6">
      <c r="A259" s="55"/>
      <c r="B259" s="55"/>
      <c r="C259" s="55"/>
      <c r="D259" s="55"/>
      <c r="E259" s="57"/>
      <c r="F259" s="57"/>
    </row>
    <row r="260" ht="15" spans="1:6">
      <c r="A260" s="55"/>
      <c r="B260" s="55"/>
      <c r="C260" s="55"/>
      <c r="D260" s="55"/>
      <c r="E260" s="57"/>
      <c r="F260" s="57"/>
    </row>
    <row r="261" ht="15" spans="1:6">
      <c r="A261" s="55"/>
      <c r="B261" s="55"/>
      <c r="C261" s="55"/>
      <c r="D261" s="55"/>
      <c r="E261" s="57"/>
      <c r="F261" s="57"/>
    </row>
    <row r="262" ht="15" spans="1:6">
      <c r="A262" s="55"/>
      <c r="B262" s="55"/>
      <c r="C262" s="55"/>
      <c r="D262" s="55"/>
      <c r="E262" s="57"/>
      <c r="F262" s="57"/>
    </row>
    <row r="263" ht="15" spans="1:6">
      <c r="A263" s="55"/>
      <c r="B263" s="55"/>
      <c r="C263" s="55"/>
      <c r="D263" s="55"/>
      <c r="E263" s="57"/>
      <c r="F263" s="57"/>
    </row>
    <row r="264" ht="15" spans="1:6">
      <c r="A264" s="55"/>
      <c r="B264" s="55"/>
      <c r="C264" s="55"/>
      <c r="D264" s="55"/>
      <c r="E264" s="57"/>
      <c r="F264" s="57"/>
    </row>
    <row r="265" ht="15" spans="1:6">
      <c r="A265" s="55"/>
      <c r="B265" s="55"/>
      <c r="C265" s="55"/>
      <c r="D265" s="55"/>
      <c r="E265" s="57"/>
      <c r="F265" s="57"/>
    </row>
    <row r="266" ht="15" spans="1:6">
      <c r="A266" s="55"/>
      <c r="B266" s="55"/>
      <c r="C266" s="55"/>
      <c r="D266" s="55"/>
      <c r="E266" s="57"/>
      <c r="F266" s="57"/>
    </row>
    <row r="267" ht="15" spans="1:6">
      <c r="A267" s="55"/>
      <c r="B267" s="55"/>
      <c r="C267" s="55"/>
      <c r="D267" s="55"/>
      <c r="E267" s="57"/>
      <c r="F267" s="57"/>
    </row>
    <row r="268" ht="15" spans="1:6">
      <c r="A268" s="55"/>
      <c r="B268" s="55"/>
      <c r="C268" s="55"/>
      <c r="D268" s="55"/>
      <c r="E268" s="57"/>
      <c r="F268" s="57"/>
    </row>
    <row r="269" ht="15" spans="1:6">
      <c r="A269" s="55"/>
      <c r="B269" s="55"/>
      <c r="C269" s="55"/>
      <c r="D269" s="55"/>
      <c r="E269" s="57"/>
      <c r="F269" s="57"/>
    </row>
    <row r="270" ht="15" spans="1:6">
      <c r="A270" s="55"/>
      <c r="B270" s="55"/>
      <c r="C270" s="55"/>
      <c r="D270" s="55"/>
      <c r="E270" s="57"/>
      <c r="F270" s="57"/>
    </row>
    <row r="271" ht="15" spans="1:6">
      <c r="A271" s="55"/>
      <c r="B271" s="55"/>
      <c r="C271" s="55"/>
      <c r="D271" s="55"/>
      <c r="E271" s="57"/>
      <c r="F271" s="57"/>
    </row>
    <row r="272" ht="15" spans="1:6">
      <c r="A272" s="55"/>
      <c r="B272" s="55"/>
      <c r="C272" s="55"/>
      <c r="D272" s="55"/>
      <c r="E272" s="57"/>
      <c r="F272" s="57"/>
    </row>
    <row r="273" ht="15" spans="1:6">
      <c r="A273" s="55"/>
      <c r="B273" s="55"/>
      <c r="C273" s="55"/>
      <c r="D273" s="55"/>
      <c r="E273" s="57"/>
      <c r="F273" s="57"/>
    </row>
    <row r="274" ht="15" spans="1:6">
      <c r="A274" s="55"/>
      <c r="B274" s="55"/>
      <c r="C274" s="55"/>
      <c r="D274" s="55"/>
      <c r="E274" s="57"/>
      <c r="F274" s="57"/>
    </row>
    <row r="275" ht="15" spans="1:6">
      <c r="A275" s="55"/>
      <c r="B275" s="55"/>
      <c r="C275" s="55"/>
      <c r="D275" s="55"/>
      <c r="E275" s="57"/>
      <c r="F275" s="57"/>
    </row>
    <row r="276" ht="15" spans="1:6">
      <c r="A276" s="55"/>
      <c r="B276" s="55"/>
      <c r="C276" s="55"/>
      <c r="D276" s="55"/>
      <c r="E276" s="57"/>
      <c r="F276" s="57"/>
    </row>
    <row r="277" ht="15" spans="1:6">
      <c r="A277" s="55"/>
      <c r="B277" s="55"/>
      <c r="C277" s="55"/>
      <c r="D277" s="55"/>
      <c r="E277" s="57"/>
      <c r="F277" s="57"/>
    </row>
    <row r="278" ht="15" spans="1:6">
      <c r="A278" s="55"/>
      <c r="B278" s="55"/>
      <c r="C278" s="55"/>
      <c r="D278" s="55"/>
      <c r="E278" s="57"/>
      <c r="F278" s="57"/>
    </row>
    <row r="279" ht="15" spans="1:6">
      <c r="A279" s="55"/>
      <c r="B279" s="55"/>
      <c r="C279" s="55"/>
      <c r="D279" s="55"/>
      <c r="E279" s="57"/>
      <c r="F279" s="57"/>
    </row>
    <row r="280" ht="15" spans="1:6">
      <c r="A280" s="55"/>
      <c r="B280" s="55"/>
      <c r="C280" s="55"/>
      <c r="D280" s="55"/>
      <c r="E280" s="57"/>
      <c r="F280" s="57"/>
    </row>
    <row r="281" ht="15" spans="1:6">
      <c r="A281" s="55"/>
      <c r="B281" s="55"/>
      <c r="C281" s="55"/>
      <c r="D281" s="55"/>
      <c r="E281" s="57"/>
      <c r="F281" s="57"/>
    </row>
    <row r="282" ht="15" spans="1:6">
      <c r="A282" s="55"/>
      <c r="B282" s="55"/>
      <c r="C282" s="55"/>
      <c r="D282" s="55"/>
      <c r="E282" s="57"/>
      <c r="F282" s="57"/>
    </row>
    <row r="283" ht="15" spans="1:6">
      <c r="A283" s="55"/>
      <c r="B283" s="55"/>
      <c r="C283" s="55"/>
      <c r="D283" s="55"/>
      <c r="E283" s="57"/>
      <c r="F283" s="57"/>
    </row>
    <row r="284" ht="15" spans="1:6">
      <c r="A284" s="55"/>
      <c r="B284" s="55"/>
      <c r="C284" s="55"/>
      <c r="D284" s="55"/>
      <c r="E284" s="57"/>
      <c r="F284" s="57"/>
    </row>
    <row r="285" ht="15" spans="1:6">
      <c r="A285" s="55"/>
      <c r="B285" s="55"/>
      <c r="C285" s="55"/>
      <c r="D285" s="55"/>
      <c r="E285" s="57"/>
      <c r="F285" s="57"/>
    </row>
    <row r="286" ht="15" spans="1:6">
      <c r="A286" s="55"/>
      <c r="B286" s="55"/>
      <c r="C286" s="55"/>
      <c r="D286" s="55"/>
      <c r="E286" s="57"/>
      <c r="F286" s="57"/>
    </row>
    <row r="287" ht="15" spans="1:6">
      <c r="A287" s="55"/>
      <c r="B287" s="55"/>
      <c r="C287" s="55"/>
      <c r="D287" s="55"/>
      <c r="E287" s="57"/>
      <c r="F287" s="57"/>
    </row>
    <row r="288" ht="15" spans="1:6">
      <c r="A288" s="55"/>
      <c r="B288" s="55"/>
      <c r="C288" s="55"/>
      <c r="D288" s="55"/>
      <c r="E288" s="57"/>
      <c r="F288" s="57"/>
    </row>
    <row r="289" ht="15" spans="1:6">
      <c r="A289" s="55"/>
      <c r="B289" s="55"/>
      <c r="C289" s="55"/>
      <c r="D289" s="55"/>
      <c r="E289" s="57"/>
      <c r="F289" s="57"/>
    </row>
    <row r="290" ht="15" spans="1:6">
      <c r="A290" s="55"/>
      <c r="B290" s="55"/>
      <c r="C290" s="55"/>
      <c r="D290" s="55"/>
      <c r="E290" s="57"/>
      <c r="F290" s="57"/>
    </row>
    <row r="291" ht="15" spans="1:6">
      <c r="A291" s="55"/>
      <c r="B291" s="55"/>
      <c r="C291" s="55"/>
      <c r="D291" s="55"/>
      <c r="E291" s="57"/>
      <c r="F291" s="57"/>
    </row>
    <row r="292" ht="15" spans="1:6">
      <c r="A292" s="55"/>
      <c r="B292" s="55"/>
      <c r="C292" s="55"/>
      <c r="D292" s="55"/>
      <c r="E292" s="57"/>
      <c r="F292" s="57"/>
    </row>
    <row r="293" ht="15" spans="1:6">
      <c r="A293" s="55"/>
      <c r="B293" s="55"/>
      <c r="C293" s="55"/>
      <c r="D293" s="55"/>
      <c r="E293" s="57"/>
      <c r="F293" s="57"/>
    </row>
    <row r="294" ht="15" spans="1:6">
      <c r="A294" s="55"/>
      <c r="B294" s="55"/>
      <c r="C294" s="55"/>
      <c r="D294" s="55"/>
      <c r="E294" s="57"/>
      <c r="F294" s="57"/>
    </row>
    <row r="295" ht="15" spans="1:6">
      <c r="A295" s="55"/>
      <c r="B295" s="55"/>
      <c r="C295" s="55"/>
      <c r="D295" s="55"/>
      <c r="E295" s="57"/>
      <c r="F295" s="57"/>
    </row>
    <row r="296" ht="15" spans="1:6">
      <c r="A296" s="55"/>
      <c r="B296" s="55"/>
      <c r="C296" s="55"/>
      <c r="D296" s="55"/>
      <c r="E296" s="57"/>
      <c r="F296" s="57"/>
    </row>
    <row r="297" ht="15" spans="1:6">
      <c r="A297" s="55"/>
      <c r="B297" s="55"/>
      <c r="C297" s="55"/>
      <c r="D297" s="55"/>
      <c r="E297" s="57"/>
      <c r="F297" s="57"/>
    </row>
    <row r="298" ht="15" spans="1:6">
      <c r="A298" s="55"/>
      <c r="B298" s="55"/>
      <c r="C298" s="55"/>
      <c r="D298" s="55"/>
      <c r="E298" s="57"/>
      <c r="F298" s="57"/>
    </row>
    <row r="299" ht="15" spans="1:6">
      <c r="A299" s="55"/>
      <c r="B299" s="55"/>
      <c r="C299" s="55"/>
      <c r="D299" s="55"/>
      <c r="E299" s="57"/>
      <c r="F299" s="57"/>
    </row>
    <row r="300" ht="15" spans="1:6">
      <c r="A300" s="55"/>
      <c r="B300" s="55"/>
      <c r="C300" s="55"/>
      <c r="D300" s="55"/>
      <c r="E300" s="57"/>
      <c r="F300" s="57"/>
    </row>
    <row r="301" ht="15" spans="1:6">
      <c r="A301" s="55"/>
      <c r="B301" s="55"/>
      <c r="C301" s="55"/>
      <c r="D301" s="55"/>
      <c r="E301" s="57"/>
      <c r="F301" s="57"/>
    </row>
    <row r="302" ht="15" spans="1:6">
      <c r="A302" s="55"/>
      <c r="B302" s="55"/>
      <c r="C302" s="55"/>
      <c r="D302" s="55"/>
      <c r="E302" s="57"/>
      <c r="F302" s="57"/>
    </row>
    <row r="303" ht="15" spans="1:6">
      <c r="A303" s="55"/>
      <c r="B303" s="55"/>
      <c r="C303" s="55"/>
      <c r="D303" s="55"/>
      <c r="E303" s="57"/>
      <c r="F303" s="57"/>
    </row>
    <row r="304" ht="15" spans="1:6">
      <c r="A304" s="55"/>
      <c r="B304" s="55"/>
      <c r="C304" s="55"/>
      <c r="D304" s="55"/>
      <c r="E304" s="57"/>
      <c r="F304" s="57"/>
    </row>
    <row r="305" ht="15" spans="1:6">
      <c r="A305" s="55"/>
      <c r="B305" s="55"/>
      <c r="C305" s="55"/>
      <c r="D305" s="55"/>
      <c r="E305" s="57"/>
      <c r="F305" s="57"/>
    </row>
    <row r="306" ht="15" spans="1:6">
      <c r="A306" s="55"/>
      <c r="B306" s="55"/>
      <c r="C306" s="55"/>
      <c r="D306" s="55"/>
      <c r="E306" s="57"/>
      <c r="F306" s="57"/>
    </row>
    <row r="307" ht="15" spans="1:6">
      <c r="A307" s="55"/>
      <c r="B307" s="55"/>
      <c r="C307" s="55"/>
      <c r="D307" s="55"/>
      <c r="E307" s="57"/>
      <c r="F307" s="57"/>
    </row>
    <row r="308" ht="15" spans="1:6">
      <c r="A308" s="55"/>
      <c r="B308" s="55"/>
      <c r="C308" s="55"/>
      <c r="D308" s="55"/>
      <c r="E308" s="57"/>
      <c r="F308" s="57"/>
    </row>
    <row r="309" ht="15" spans="1:6">
      <c r="A309" s="55"/>
      <c r="B309" s="55"/>
      <c r="C309" s="55"/>
      <c r="D309" s="55"/>
      <c r="E309" s="57"/>
      <c r="F309" s="57"/>
    </row>
    <row r="310" ht="15" spans="1:6">
      <c r="A310" s="55"/>
      <c r="B310" s="55"/>
      <c r="C310" s="55"/>
      <c r="D310" s="55"/>
      <c r="E310" s="57"/>
      <c r="F310" s="57"/>
    </row>
    <row r="311" ht="15" spans="1:6">
      <c r="A311" s="55"/>
      <c r="B311" s="55"/>
      <c r="C311" s="55"/>
      <c r="D311" s="55"/>
      <c r="E311" s="57"/>
      <c r="F311" s="57"/>
    </row>
    <row r="312" ht="15" spans="1:6">
      <c r="A312" s="55"/>
      <c r="B312" s="55"/>
      <c r="C312" s="55"/>
      <c r="D312" s="55"/>
      <c r="E312" s="57"/>
      <c r="F312" s="57"/>
    </row>
    <row r="313" ht="15" spans="1:6">
      <c r="A313" s="55"/>
      <c r="B313" s="55"/>
      <c r="C313" s="55"/>
      <c r="D313" s="55"/>
      <c r="E313" s="57"/>
      <c r="F313" s="57"/>
    </row>
    <row r="314" ht="15" spans="1:6">
      <c r="A314" s="55"/>
      <c r="B314" s="55"/>
      <c r="C314" s="55"/>
      <c r="D314" s="55"/>
      <c r="E314" s="57"/>
      <c r="F314" s="57"/>
    </row>
    <row r="315" ht="15" spans="1:6">
      <c r="A315" s="55"/>
      <c r="B315" s="55"/>
      <c r="C315" s="55"/>
      <c r="D315" s="55"/>
      <c r="E315" s="57"/>
      <c r="F315" s="57"/>
    </row>
    <row r="316" ht="15" spans="1:6">
      <c r="A316" s="55"/>
      <c r="B316" s="55"/>
      <c r="C316" s="55"/>
      <c r="D316" s="55"/>
      <c r="E316" s="57"/>
      <c r="F316" s="57"/>
    </row>
    <row r="317" ht="15" spans="1:6">
      <c r="A317" s="55"/>
      <c r="B317" s="55"/>
      <c r="C317" s="55"/>
      <c r="D317" s="55"/>
      <c r="E317" s="57"/>
      <c r="F317" s="57"/>
    </row>
    <row r="318" ht="15" spans="1:6">
      <c r="A318" s="55"/>
      <c r="B318" s="55"/>
      <c r="C318" s="55"/>
      <c r="D318" s="55"/>
      <c r="E318" s="57"/>
      <c r="F318" s="57"/>
    </row>
    <row r="319" ht="15" spans="1:6">
      <c r="A319" s="55"/>
      <c r="B319" s="55"/>
      <c r="C319" s="55"/>
      <c r="D319" s="55"/>
      <c r="E319" s="57"/>
      <c r="F319" s="57"/>
    </row>
    <row r="320" ht="15" spans="1:6">
      <c r="A320" s="55"/>
      <c r="B320" s="55"/>
      <c r="C320" s="55"/>
      <c r="D320" s="55"/>
      <c r="E320" s="57"/>
      <c r="F320" s="57"/>
    </row>
    <row r="321" ht="15" spans="1:6">
      <c r="A321" s="55"/>
      <c r="B321" s="55"/>
      <c r="C321" s="55"/>
      <c r="D321" s="55"/>
      <c r="E321" s="57"/>
      <c r="F321" s="57"/>
    </row>
    <row r="322" ht="15" spans="1:6">
      <c r="A322" s="55"/>
      <c r="B322" s="55"/>
      <c r="C322" s="55"/>
      <c r="D322" s="55"/>
      <c r="E322" s="57"/>
      <c r="F322" s="57"/>
    </row>
    <row r="323" ht="15" spans="1:6">
      <c r="A323" s="55"/>
      <c r="B323" s="55"/>
      <c r="C323" s="55"/>
      <c r="D323" s="55"/>
      <c r="E323" s="57"/>
      <c r="F323" s="57"/>
    </row>
    <row r="324" ht="15" spans="1:6">
      <c r="A324" s="55"/>
      <c r="B324" s="55"/>
      <c r="C324" s="55"/>
      <c r="D324" s="55"/>
      <c r="E324" s="57"/>
      <c r="F324" s="57"/>
    </row>
    <row r="325" ht="15" spans="1:6">
      <c r="A325" s="55"/>
      <c r="B325" s="55"/>
      <c r="C325" s="55"/>
      <c r="D325" s="55"/>
      <c r="E325" s="57"/>
      <c r="F325" s="57"/>
    </row>
    <row r="326" ht="15" spans="1:6">
      <c r="A326" s="55"/>
      <c r="B326" s="55"/>
      <c r="C326" s="55"/>
      <c r="D326" s="55"/>
      <c r="E326" s="57"/>
      <c r="F326" s="57"/>
    </row>
    <row r="327" ht="15" spans="1:6">
      <c r="A327" s="55"/>
      <c r="B327" s="55"/>
      <c r="C327" s="55"/>
      <c r="D327" s="55"/>
      <c r="E327" s="57"/>
      <c r="F327" s="57"/>
    </row>
    <row r="328" ht="15" spans="1:6">
      <c r="A328" s="55"/>
      <c r="B328" s="55"/>
      <c r="C328" s="55"/>
      <c r="D328" s="55"/>
      <c r="E328" s="57"/>
      <c r="F328" s="57"/>
    </row>
    <row r="329" ht="15" spans="1:6">
      <c r="A329" s="55"/>
      <c r="B329" s="55"/>
      <c r="C329" s="55"/>
      <c r="D329" s="55"/>
      <c r="E329" s="57"/>
      <c r="F329" s="57"/>
    </row>
    <row r="330" ht="15" spans="1:6">
      <c r="A330" s="55"/>
      <c r="B330" s="55"/>
      <c r="C330" s="55"/>
      <c r="D330" s="55"/>
      <c r="E330" s="57"/>
      <c r="F330" s="57"/>
    </row>
    <row r="331" ht="15" spans="1:6">
      <c r="A331" s="55"/>
      <c r="B331" s="55"/>
      <c r="C331" s="55"/>
      <c r="D331" s="55"/>
      <c r="E331" s="57"/>
      <c r="F331" s="57"/>
    </row>
    <row r="332" ht="15" spans="1:6">
      <c r="A332" s="55"/>
      <c r="B332" s="55"/>
      <c r="C332" s="55"/>
      <c r="D332" s="55"/>
      <c r="E332" s="57"/>
      <c r="F332" s="57"/>
    </row>
    <row r="333" ht="15" spans="1:6">
      <c r="A333" s="55"/>
      <c r="B333" s="55"/>
      <c r="C333" s="55"/>
      <c r="D333" s="55"/>
      <c r="E333" s="57"/>
      <c r="F333" s="57"/>
    </row>
    <row r="334" ht="15" spans="1:6">
      <c r="A334" s="55"/>
      <c r="B334" s="55"/>
      <c r="C334" s="55"/>
      <c r="D334" s="55"/>
      <c r="E334" s="57"/>
      <c r="F334" s="57"/>
    </row>
    <row r="335" ht="15" spans="1:6">
      <c r="A335" s="55"/>
      <c r="B335" s="55"/>
      <c r="C335" s="55"/>
      <c r="D335" s="55"/>
      <c r="E335" s="57"/>
      <c r="F335" s="57"/>
    </row>
    <row r="336" ht="15" spans="1:6">
      <c r="A336" s="55"/>
      <c r="B336" s="55"/>
      <c r="C336" s="55"/>
      <c r="D336" s="55"/>
      <c r="E336" s="57"/>
      <c r="F336" s="57"/>
    </row>
    <row r="337" ht="15" spans="1:6">
      <c r="A337" s="55"/>
      <c r="B337" s="55"/>
      <c r="C337" s="55"/>
      <c r="D337" s="55"/>
      <c r="E337" s="57"/>
      <c r="F337" s="57"/>
    </row>
    <row r="338" ht="15" spans="1:6">
      <c r="A338" s="55"/>
      <c r="B338" s="55"/>
      <c r="C338" s="55"/>
      <c r="D338" s="55"/>
      <c r="E338" s="57"/>
      <c r="F338" s="57"/>
    </row>
    <row r="339" ht="15" spans="1:6">
      <c r="A339" s="55"/>
      <c r="B339" s="55"/>
      <c r="C339" s="55"/>
      <c r="D339" s="55"/>
      <c r="E339" s="57"/>
      <c r="F339" s="57"/>
    </row>
    <row r="340" ht="15" spans="1:6">
      <c r="A340" s="55"/>
      <c r="B340" s="55"/>
      <c r="C340" s="55"/>
      <c r="D340" s="55"/>
      <c r="E340" s="57"/>
      <c r="F340" s="57"/>
    </row>
    <row r="341" ht="15" spans="1:6">
      <c r="A341" s="55"/>
      <c r="B341" s="55"/>
      <c r="C341" s="55"/>
      <c r="D341" s="55"/>
      <c r="E341" s="57"/>
      <c r="F341" s="57"/>
    </row>
    <row r="342" ht="15" spans="1:6">
      <c r="A342" s="55"/>
      <c r="B342" s="55"/>
      <c r="C342" s="55"/>
      <c r="D342" s="55"/>
      <c r="E342" s="57"/>
      <c r="F342" s="57"/>
    </row>
    <row r="343" ht="15" spans="1:6">
      <c r="A343" s="55"/>
      <c r="B343" s="55"/>
      <c r="C343" s="55"/>
      <c r="D343" s="55"/>
      <c r="E343" s="57"/>
      <c r="F343" s="57"/>
    </row>
    <row r="344" ht="15" spans="1:6">
      <c r="A344" s="55"/>
      <c r="B344" s="55"/>
      <c r="C344" s="55"/>
      <c r="D344" s="55"/>
      <c r="E344" s="57"/>
      <c r="F344" s="57"/>
    </row>
    <row r="345" ht="15" spans="1:6">
      <c r="A345" s="55"/>
      <c r="B345" s="55"/>
      <c r="C345" s="55"/>
      <c r="D345" s="55"/>
      <c r="E345" s="57"/>
      <c r="F345" s="57"/>
    </row>
    <row r="346" ht="15" spans="1:6">
      <c r="A346" s="55"/>
      <c r="B346" s="55"/>
      <c r="C346" s="55"/>
      <c r="D346" s="55"/>
      <c r="E346" s="57"/>
      <c r="F346" s="57"/>
    </row>
    <row r="347" ht="15" spans="1:6">
      <c r="A347" s="55"/>
      <c r="B347" s="55"/>
      <c r="C347" s="55"/>
      <c r="D347" s="55"/>
      <c r="E347" s="57"/>
      <c r="F347" s="57"/>
    </row>
    <row r="348" ht="15" spans="1:6">
      <c r="A348" s="55"/>
      <c r="B348" s="55"/>
      <c r="C348" s="55"/>
      <c r="D348" s="55"/>
      <c r="E348" s="57"/>
      <c r="F348" s="57"/>
    </row>
    <row r="349" ht="15" spans="1:6">
      <c r="A349" s="55"/>
      <c r="B349" s="55"/>
      <c r="C349" s="55"/>
      <c r="D349" s="55"/>
      <c r="E349" s="57"/>
      <c r="F349" s="57"/>
    </row>
    <row r="350" ht="15" spans="1:6">
      <c r="A350" s="55"/>
      <c r="B350" s="55"/>
      <c r="C350" s="55"/>
      <c r="D350" s="55"/>
      <c r="E350" s="57"/>
      <c r="F350" s="57"/>
    </row>
    <row r="351" ht="15" spans="1:6">
      <c r="A351" s="55"/>
      <c r="B351" s="55"/>
      <c r="C351" s="55"/>
      <c r="D351" s="55"/>
      <c r="E351" s="57"/>
      <c r="F351" s="57"/>
    </row>
    <row r="352" ht="15" spans="1:6">
      <c r="A352" s="55"/>
      <c r="B352" s="55"/>
      <c r="C352" s="55"/>
      <c r="D352" s="55"/>
      <c r="E352" s="57"/>
      <c r="F352" s="57"/>
    </row>
    <row r="353" ht="15" spans="1:6">
      <c r="A353" s="55"/>
      <c r="B353" s="55"/>
      <c r="C353" s="55"/>
      <c r="D353" s="55"/>
      <c r="E353" s="57"/>
      <c r="F353" s="57"/>
    </row>
    <row r="354" ht="15" spans="1:6">
      <c r="A354" s="55"/>
      <c r="B354" s="55"/>
      <c r="C354" s="55"/>
      <c r="D354" s="55"/>
      <c r="E354" s="57"/>
      <c r="F354" s="57"/>
    </row>
    <row r="355" ht="15" spans="1:6">
      <c r="A355" s="55"/>
      <c r="B355" s="55"/>
      <c r="C355" s="55"/>
      <c r="D355" s="55"/>
      <c r="E355" s="57"/>
      <c r="F355" s="57"/>
    </row>
    <row r="356" ht="15" spans="1:6">
      <c r="A356" s="55"/>
      <c r="B356" s="55"/>
      <c r="C356" s="55"/>
      <c r="D356" s="55"/>
      <c r="E356" s="57"/>
      <c r="F356" s="57"/>
    </row>
    <row r="357" ht="15" spans="1:6">
      <c r="A357" s="55"/>
      <c r="B357" s="55"/>
      <c r="C357" s="55"/>
      <c r="D357" s="55"/>
      <c r="E357" s="57"/>
      <c r="F357" s="57"/>
    </row>
    <row r="358" ht="15" spans="1:6">
      <c r="A358" s="55"/>
      <c r="B358" s="55"/>
      <c r="C358" s="55"/>
      <c r="D358" s="55"/>
      <c r="E358" s="57"/>
      <c r="F358" s="57"/>
    </row>
    <row r="359" ht="15" spans="1:6">
      <c r="A359" s="55"/>
      <c r="B359" s="55"/>
      <c r="C359" s="55"/>
      <c r="D359" s="55"/>
      <c r="E359" s="57"/>
      <c r="F359" s="57"/>
    </row>
    <row r="360" ht="15" spans="1:6">
      <c r="A360" s="55"/>
      <c r="B360" s="55"/>
      <c r="C360" s="55"/>
      <c r="D360" s="55"/>
      <c r="E360" s="57"/>
      <c r="F360" s="57"/>
    </row>
    <row r="361" ht="15" spans="1:6">
      <c r="A361" s="55"/>
      <c r="B361" s="55"/>
      <c r="C361" s="55"/>
      <c r="D361" s="55"/>
      <c r="E361" s="57"/>
      <c r="F361" s="57"/>
    </row>
    <row r="362" ht="15" spans="1:6">
      <c r="A362" s="55"/>
      <c r="B362" s="55"/>
      <c r="C362" s="55"/>
      <c r="D362" s="55"/>
      <c r="E362" s="57"/>
      <c r="F362" s="57"/>
    </row>
    <row r="363" ht="15" spans="1:6">
      <c r="A363" s="55"/>
      <c r="B363" s="55"/>
      <c r="C363" s="55"/>
      <c r="D363" s="55"/>
      <c r="E363" s="57"/>
      <c r="F363" s="57"/>
    </row>
    <row r="364" ht="15" spans="1:6">
      <c r="A364" s="55"/>
      <c r="B364" s="55"/>
      <c r="C364" s="55"/>
      <c r="D364" s="55"/>
      <c r="E364" s="57"/>
      <c r="F364" s="57"/>
    </row>
    <row r="365" ht="15" spans="1:6">
      <c r="A365" s="55"/>
      <c r="B365" s="55"/>
      <c r="C365" s="55"/>
      <c r="D365" s="55"/>
      <c r="E365" s="57"/>
      <c r="F365" s="57"/>
    </row>
    <row r="366" ht="15" spans="1:6">
      <c r="A366" s="55"/>
      <c r="B366" s="55"/>
      <c r="C366" s="55"/>
      <c r="D366" s="55"/>
      <c r="E366" s="57"/>
      <c r="F366" s="57"/>
    </row>
    <row r="367" ht="15" spans="1:6">
      <c r="A367" s="55"/>
      <c r="B367" s="55"/>
      <c r="C367" s="55"/>
      <c r="D367" s="55"/>
      <c r="E367" s="57"/>
      <c r="F367" s="57"/>
    </row>
    <row r="368" ht="15" spans="1:6">
      <c r="A368" s="55"/>
      <c r="B368" s="55"/>
      <c r="C368" s="55"/>
      <c r="D368" s="55"/>
      <c r="E368" s="57"/>
      <c r="F368" s="57"/>
    </row>
    <row r="369" ht="15" spans="1:6">
      <c r="A369" s="55"/>
      <c r="B369" s="55"/>
      <c r="C369" s="55"/>
      <c r="D369" s="55"/>
      <c r="E369" s="57"/>
      <c r="F369" s="57"/>
    </row>
    <row r="370" ht="15" spans="1:6">
      <c r="A370" s="55"/>
      <c r="B370" s="55"/>
      <c r="C370" s="55"/>
      <c r="D370" s="55"/>
      <c r="E370" s="57"/>
      <c r="F370" s="57"/>
    </row>
    <row r="371" ht="15" spans="1:6">
      <c r="A371" s="55"/>
      <c r="B371" s="55"/>
      <c r="C371" s="55"/>
      <c r="D371" s="55"/>
      <c r="E371" s="57"/>
      <c r="F371" s="57"/>
    </row>
    <row r="372" ht="15" spans="1:6">
      <c r="A372" s="55"/>
      <c r="B372" s="55"/>
      <c r="C372" s="55"/>
      <c r="D372" s="55"/>
      <c r="E372" s="57"/>
      <c r="F372" s="57"/>
    </row>
    <row r="373" ht="15" spans="1:6">
      <c r="A373" s="55"/>
      <c r="B373" s="55"/>
      <c r="C373" s="55"/>
      <c r="D373" s="55"/>
      <c r="E373" s="57"/>
      <c r="F373" s="57"/>
    </row>
    <row r="374" ht="15" spans="1:6">
      <c r="A374" s="55"/>
      <c r="B374" s="55"/>
      <c r="C374" s="55"/>
      <c r="D374" s="55"/>
      <c r="E374" s="57"/>
      <c r="F374" s="57"/>
    </row>
    <row r="375" ht="15" spans="1:6">
      <c r="A375" s="55"/>
      <c r="B375" s="55"/>
      <c r="C375" s="55"/>
      <c r="D375" s="55"/>
      <c r="E375" s="57"/>
      <c r="F375" s="57"/>
    </row>
    <row r="376" ht="15" spans="1:6">
      <c r="A376" s="55"/>
      <c r="B376" s="55"/>
      <c r="C376" s="55"/>
      <c r="D376" s="55"/>
      <c r="E376" s="57"/>
      <c r="F376" s="57"/>
    </row>
    <row r="377" ht="15" spans="1:6">
      <c r="A377" s="55"/>
      <c r="B377" s="55"/>
      <c r="C377" s="55"/>
      <c r="D377" s="55"/>
      <c r="E377" s="57"/>
      <c r="F377" s="57"/>
    </row>
    <row r="378" ht="15" spans="1:6">
      <c r="A378" s="55"/>
      <c r="B378" s="55"/>
      <c r="C378" s="55"/>
      <c r="D378" s="55"/>
      <c r="E378" s="57"/>
      <c r="F378" s="57"/>
    </row>
    <row r="379" ht="15" spans="1:6">
      <c r="A379" s="55"/>
      <c r="B379" s="55"/>
      <c r="C379" s="55"/>
      <c r="D379" s="55"/>
      <c r="E379" s="57"/>
      <c r="F379" s="57"/>
    </row>
    <row r="380" ht="15" spans="1:6">
      <c r="A380" s="55"/>
      <c r="B380" s="55"/>
      <c r="C380" s="55"/>
      <c r="D380" s="55"/>
      <c r="E380" s="57"/>
      <c r="F380" s="57"/>
    </row>
    <row r="381" ht="15" spans="1:6">
      <c r="A381" s="55"/>
      <c r="B381" s="55"/>
      <c r="C381" s="55"/>
      <c r="D381" s="55"/>
      <c r="E381" s="57"/>
      <c r="F381" s="57"/>
    </row>
    <row r="382" ht="15" spans="1:6">
      <c r="A382" s="55"/>
      <c r="B382" s="55"/>
      <c r="C382" s="55"/>
      <c r="D382" s="55"/>
      <c r="E382" s="57"/>
      <c r="F382" s="57"/>
    </row>
    <row r="383" ht="15" spans="1:6">
      <c r="A383" s="55"/>
      <c r="B383" s="55"/>
      <c r="C383" s="55"/>
      <c r="D383" s="55"/>
      <c r="E383" s="57"/>
      <c r="F383" s="57"/>
    </row>
    <row r="384" ht="15" spans="1:6">
      <c r="A384" s="55"/>
      <c r="B384" s="55"/>
      <c r="C384" s="55"/>
      <c r="D384" s="55"/>
      <c r="E384" s="57"/>
      <c r="F384" s="57"/>
    </row>
    <row r="385" ht="15" spans="1:6">
      <c r="A385" s="55"/>
      <c r="B385" s="55"/>
      <c r="C385" s="55"/>
      <c r="D385" s="55"/>
      <c r="E385" s="57"/>
      <c r="F385" s="57"/>
    </row>
    <row r="386" ht="15" spans="1:6">
      <c r="A386" s="55"/>
      <c r="B386" s="55"/>
      <c r="C386" s="55"/>
      <c r="D386" s="55"/>
      <c r="E386" s="57"/>
      <c r="F386" s="57"/>
    </row>
    <row r="387" ht="15" spans="1:6">
      <c r="A387" s="55"/>
      <c r="B387" s="55"/>
      <c r="C387" s="55"/>
      <c r="D387" s="55"/>
      <c r="E387" s="57"/>
      <c r="F387" s="57"/>
    </row>
    <row r="388" ht="15" spans="1:6">
      <c r="A388" s="55"/>
      <c r="B388" s="55"/>
      <c r="C388" s="55"/>
      <c r="D388" s="55"/>
      <c r="E388" s="57"/>
      <c r="F388" s="57"/>
    </row>
    <row r="389" ht="15" spans="1:6">
      <c r="A389" s="55"/>
      <c r="B389" s="55"/>
      <c r="C389" s="55"/>
      <c r="D389" s="55"/>
      <c r="E389" s="57"/>
      <c r="F389" s="57"/>
    </row>
    <row r="390" ht="15" spans="1:6">
      <c r="A390" s="55"/>
      <c r="B390" s="55"/>
      <c r="C390" s="55"/>
      <c r="D390" s="55"/>
      <c r="E390" s="57"/>
      <c r="F390" s="57"/>
    </row>
    <row r="391" ht="15" spans="1:6">
      <c r="A391" s="55"/>
      <c r="B391" s="55"/>
      <c r="C391" s="55"/>
      <c r="D391" s="55"/>
      <c r="E391" s="57"/>
      <c r="F391" s="57"/>
    </row>
    <row r="392" ht="15" spans="1:6">
      <c r="A392" s="55"/>
      <c r="B392" s="55"/>
      <c r="C392" s="55"/>
      <c r="D392" s="55"/>
      <c r="E392" s="57"/>
      <c r="F392" s="57"/>
    </row>
    <row r="393" ht="15" spans="1:6">
      <c r="A393" s="55"/>
      <c r="B393" s="55"/>
      <c r="C393" s="55"/>
      <c r="D393" s="55"/>
      <c r="E393" s="57"/>
      <c r="F393" s="57"/>
    </row>
    <row r="394" ht="15" spans="1:6">
      <c r="A394" s="55"/>
      <c r="B394" s="55"/>
      <c r="C394" s="55"/>
      <c r="D394" s="55"/>
      <c r="E394" s="57"/>
      <c r="F394" s="57"/>
    </row>
    <row r="395" ht="15" spans="1:6">
      <c r="A395" s="55"/>
      <c r="B395" s="55"/>
      <c r="C395" s="55"/>
      <c r="D395" s="55"/>
      <c r="E395" s="57"/>
      <c r="F395" s="57"/>
    </row>
    <row r="396" ht="15" spans="1:6">
      <c r="A396" s="55"/>
      <c r="B396" s="55"/>
      <c r="C396" s="55"/>
      <c r="D396" s="55"/>
      <c r="E396" s="57"/>
      <c r="F396" s="57"/>
    </row>
    <row r="397" ht="15" spans="1:6">
      <c r="A397" s="55"/>
      <c r="B397" s="55"/>
      <c r="C397" s="55"/>
      <c r="D397" s="55"/>
      <c r="E397" s="57"/>
      <c r="F397" s="57"/>
    </row>
    <row r="398" ht="15" spans="1:6">
      <c r="A398" s="55"/>
      <c r="B398" s="55"/>
      <c r="C398" s="55"/>
      <c r="D398" s="55"/>
      <c r="E398" s="57"/>
      <c r="F398" s="57"/>
    </row>
    <row r="399" ht="15" spans="1:6">
      <c r="A399" s="55"/>
      <c r="B399" s="55"/>
      <c r="C399" s="55"/>
      <c r="D399" s="55"/>
      <c r="E399" s="57"/>
      <c r="F399" s="57"/>
    </row>
    <row r="400" ht="15" spans="1:6">
      <c r="A400" s="55"/>
      <c r="B400" s="55"/>
      <c r="C400" s="55"/>
      <c r="D400" s="55"/>
      <c r="E400" s="57"/>
      <c r="F400" s="57"/>
    </row>
    <row r="401" ht="15" spans="1:6">
      <c r="A401" s="55"/>
      <c r="B401" s="55"/>
      <c r="C401" s="55"/>
      <c r="D401" s="55"/>
      <c r="E401" s="57"/>
      <c r="F401" s="57"/>
    </row>
    <row r="402" ht="15" spans="1:6">
      <c r="A402" s="55"/>
      <c r="B402" s="55"/>
      <c r="C402" s="55"/>
      <c r="D402" s="55"/>
      <c r="E402" s="57"/>
      <c r="F402" s="57"/>
    </row>
    <row r="403" ht="15" spans="1:6">
      <c r="A403" s="55"/>
      <c r="B403" s="55"/>
      <c r="C403" s="55"/>
      <c r="D403" s="55"/>
      <c r="E403" s="57"/>
      <c r="F403" s="57"/>
    </row>
    <row r="404" ht="15" spans="1:6">
      <c r="A404" s="55"/>
      <c r="B404" s="55"/>
      <c r="C404" s="55"/>
      <c r="D404" s="55"/>
      <c r="E404" s="57"/>
      <c r="F404" s="57"/>
    </row>
    <row r="405" ht="15" spans="1:6">
      <c r="A405" s="55"/>
      <c r="B405" s="55"/>
      <c r="C405" s="55"/>
      <c r="D405" s="55"/>
      <c r="E405" s="57"/>
      <c r="F405" s="57"/>
    </row>
    <row r="406" ht="15" spans="1:6">
      <c r="A406" s="55"/>
      <c r="B406" s="55"/>
      <c r="C406" s="55"/>
      <c r="D406" s="55"/>
      <c r="E406" s="57"/>
      <c r="F406" s="57"/>
    </row>
    <row r="407" ht="15" spans="1:6">
      <c r="A407" s="55"/>
      <c r="B407" s="55"/>
      <c r="C407" s="55"/>
      <c r="D407" s="55"/>
      <c r="E407" s="57"/>
      <c r="F407" s="57"/>
    </row>
    <row r="408" ht="15" spans="1:6">
      <c r="A408" s="55"/>
      <c r="B408" s="55"/>
      <c r="C408" s="55"/>
      <c r="D408" s="55"/>
      <c r="E408" s="57"/>
      <c r="F408" s="57"/>
    </row>
    <row r="409" ht="15" spans="1:6">
      <c r="A409" s="55"/>
      <c r="B409" s="55"/>
      <c r="C409" s="55"/>
      <c r="D409" s="55"/>
      <c r="E409" s="57"/>
      <c r="F409" s="57"/>
    </row>
    <row r="410" ht="15" spans="1:6">
      <c r="A410" s="55"/>
      <c r="B410" s="55"/>
      <c r="C410" s="55"/>
      <c r="D410" s="55"/>
      <c r="E410" s="57"/>
      <c r="F410" s="57"/>
    </row>
    <row r="411" ht="15" spans="1:6">
      <c r="A411" s="55"/>
      <c r="B411" s="55"/>
      <c r="C411" s="55"/>
      <c r="D411" s="55"/>
      <c r="E411" s="57"/>
      <c r="F411" s="57"/>
    </row>
    <row r="412" ht="15" spans="1:6">
      <c r="A412" s="55"/>
      <c r="B412" s="55"/>
      <c r="C412" s="55"/>
      <c r="D412" s="55"/>
      <c r="E412" s="57"/>
      <c r="F412" s="57"/>
    </row>
    <row r="413" ht="15" spans="1:6">
      <c r="A413" s="55"/>
      <c r="B413" s="55"/>
      <c r="C413" s="55"/>
      <c r="D413" s="55"/>
      <c r="E413" s="57"/>
      <c r="F413" s="57"/>
    </row>
    <row r="414" ht="15" spans="1:6">
      <c r="A414" s="55"/>
      <c r="B414" s="55"/>
      <c r="C414" s="55"/>
      <c r="D414" s="55"/>
      <c r="E414" s="57"/>
      <c r="F414" s="57"/>
    </row>
    <row r="415" ht="15" spans="1:6">
      <c r="A415" s="55"/>
      <c r="B415" s="55"/>
      <c r="C415" s="55"/>
      <c r="D415" s="55"/>
      <c r="E415" s="57"/>
      <c r="F415" s="57"/>
    </row>
    <row r="416" ht="15" spans="1:6">
      <c r="A416" s="55"/>
      <c r="B416" s="55"/>
      <c r="C416" s="55"/>
      <c r="D416" s="55"/>
      <c r="E416" s="57"/>
      <c r="F416" s="57"/>
    </row>
    <row r="417" ht="15" spans="1:6">
      <c r="A417" s="55"/>
      <c r="B417" s="55"/>
      <c r="C417" s="55"/>
      <c r="D417" s="55"/>
      <c r="E417" s="57"/>
      <c r="F417" s="57"/>
    </row>
    <row r="418" ht="15" spans="1:6">
      <c r="A418" s="55"/>
      <c r="B418" s="55"/>
      <c r="C418" s="55"/>
      <c r="D418" s="55"/>
      <c r="E418" s="57"/>
      <c r="F418" s="57"/>
    </row>
    <row r="419" ht="15" spans="1:6">
      <c r="A419" s="55"/>
      <c r="B419" s="55"/>
      <c r="C419" s="55"/>
      <c r="D419" s="55"/>
      <c r="E419" s="57"/>
      <c r="F419" s="57"/>
    </row>
    <row r="420" ht="15" spans="1:6">
      <c r="A420" s="55"/>
      <c r="B420" s="55"/>
      <c r="C420" s="55"/>
      <c r="D420" s="55"/>
      <c r="E420" s="57"/>
      <c r="F420" s="57"/>
    </row>
    <row r="421" ht="15" spans="1:6">
      <c r="A421" s="55"/>
      <c r="B421" s="55"/>
      <c r="C421" s="55"/>
      <c r="D421" s="55"/>
      <c r="E421" s="57"/>
      <c r="F421" s="57"/>
    </row>
    <row r="422" ht="15" spans="1:6">
      <c r="A422" s="55"/>
      <c r="B422" s="55"/>
      <c r="C422" s="55"/>
      <c r="D422" s="55"/>
      <c r="E422" s="57"/>
      <c r="F422" s="57"/>
    </row>
    <row r="423" ht="15" spans="1:6">
      <c r="A423" s="55"/>
      <c r="B423" s="55"/>
      <c r="C423" s="55"/>
      <c r="D423" s="55"/>
      <c r="E423" s="57"/>
      <c r="F423" s="57"/>
    </row>
    <row r="424" ht="15" spans="1:6">
      <c r="A424" s="55"/>
      <c r="B424" s="55"/>
      <c r="C424" s="55"/>
      <c r="D424" s="55"/>
      <c r="E424" s="57"/>
      <c r="F424" s="57"/>
    </row>
    <row r="425" ht="15" spans="1:6">
      <c r="A425" s="55"/>
      <c r="B425" s="55"/>
      <c r="C425" s="55"/>
      <c r="D425" s="55"/>
      <c r="E425" s="57"/>
      <c r="F425" s="57"/>
    </row>
    <row r="426" ht="15" spans="1:6">
      <c r="A426" s="55"/>
      <c r="B426" s="55"/>
      <c r="C426" s="55"/>
      <c r="D426" s="55"/>
      <c r="E426" s="57"/>
      <c r="F426" s="57"/>
    </row>
    <row r="427" ht="15" spans="1:6">
      <c r="A427" s="55"/>
      <c r="B427" s="55"/>
      <c r="C427" s="55"/>
      <c r="D427" s="55"/>
      <c r="E427" s="57"/>
      <c r="F427" s="57"/>
    </row>
    <row r="428" ht="15" spans="1:6">
      <c r="A428" s="55"/>
      <c r="B428" s="55"/>
      <c r="C428" s="55"/>
      <c r="D428" s="55"/>
      <c r="E428" s="57"/>
      <c r="F428" s="57"/>
    </row>
    <row r="429" ht="15" spans="1:6">
      <c r="A429" s="55"/>
      <c r="B429" s="55"/>
      <c r="C429" s="55"/>
      <c r="D429" s="55"/>
      <c r="E429" s="57"/>
      <c r="F429" s="57"/>
    </row>
    <row r="430" ht="15" spans="1:6">
      <c r="A430" s="55"/>
      <c r="B430" s="55"/>
      <c r="C430" s="55"/>
      <c r="D430" s="55"/>
      <c r="E430" s="57"/>
      <c r="F430" s="57"/>
    </row>
    <row r="431" ht="15" spans="1:6">
      <c r="A431" s="55"/>
      <c r="B431" s="55"/>
      <c r="C431" s="55"/>
      <c r="D431" s="55"/>
      <c r="E431" s="57"/>
      <c r="F431" s="57"/>
    </row>
    <row r="432" ht="15" spans="1:6">
      <c r="A432" s="55"/>
      <c r="B432" s="55"/>
      <c r="C432" s="55"/>
      <c r="D432" s="55"/>
      <c r="E432" s="57"/>
      <c r="F432" s="57"/>
    </row>
    <row r="433" ht="15" spans="1:6">
      <c r="A433" s="55"/>
      <c r="B433" s="55"/>
      <c r="C433" s="55"/>
      <c r="D433" s="55"/>
      <c r="E433" s="57"/>
      <c r="F433" s="57"/>
    </row>
    <row r="434" ht="15" spans="1:6">
      <c r="A434" s="55"/>
      <c r="B434" s="55"/>
      <c r="C434" s="55"/>
      <c r="D434" s="55"/>
      <c r="E434" s="57"/>
      <c r="F434" s="57"/>
    </row>
    <row r="435" ht="15" spans="1:6">
      <c r="A435" s="55"/>
      <c r="B435" s="55"/>
      <c r="C435" s="55"/>
      <c r="D435" s="55"/>
      <c r="E435" s="57"/>
      <c r="F435" s="57"/>
    </row>
    <row r="436" ht="15" spans="1:6">
      <c r="A436" s="55"/>
      <c r="B436" s="55"/>
      <c r="C436" s="55"/>
      <c r="D436" s="55"/>
      <c r="E436" s="57"/>
      <c r="F436" s="57"/>
    </row>
    <row r="437" ht="15" spans="1:6">
      <c r="A437" s="55"/>
      <c r="B437" s="55"/>
      <c r="C437" s="55"/>
      <c r="D437" s="55"/>
      <c r="E437" s="57"/>
      <c r="F437" s="57"/>
    </row>
    <row r="438" ht="15" spans="1:6">
      <c r="A438" s="55"/>
      <c r="B438" s="55"/>
      <c r="C438" s="55"/>
      <c r="D438" s="55"/>
      <c r="E438" s="57"/>
      <c r="F438" s="57"/>
    </row>
    <row r="439" ht="15" spans="1:6">
      <c r="A439" s="55"/>
      <c r="B439" s="55"/>
      <c r="C439" s="55"/>
      <c r="D439" s="55"/>
      <c r="E439" s="57"/>
      <c r="F439" s="57"/>
    </row>
    <row r="440" ht="15" spans="1:6">
      <c r="A440" s="55"/>
      <c r="B440" s="55"/>
      <c r="C440" s="55"/>
      <c r="D440" s="55"/>
      <c r="E440" s="57"/>
      <c r="F440" s="57"/>
    </row>
    <row r="441" ht="15" spans="1:6">
      <c r="A441" s="55"/>
      <c r="B441" s="55"/>
      <c r="C441" s="55"/>
      <c r="D441" s="55"/>
      <c r="E441" s="57"/>
      <c r="F441" s="57"/>
    </row>
    <row r="442" ht="15" spans="1:6">
      <c r="A442" s="55"/>
      <c r="B442" s="55"/>
      <c r="C442" s="55"/>
      <c r="D442" s="55"/>
      <c r="E442" s="57"/>
      <c r="F442" s="57"/>
    </row>
    <row r="443" ht="15" spans="1:6">
      <c r="A443" s="55"/>
      <c r="B443" s="55"/>
      <c r="C443" s="55"/>
      <c r="D443" s="55"/>
      <c r="E443" s="57"/>
      <c r="F443" s="57"/>
    </row>
    <row r="444" ht="15" spans="1:6">
      <c r="A444" s="55"/>
      <c r="B444" s="55"/>
      <c r="C444" s="55"/>
      <c r="D444" s="55"/>
      <c r="E444" s="57"/>
      <c r="F444" s="57"/>
    </row>
    <row r="445" ht="15" spans="1:6">
      <c r="A445" s="55"/>
      <c r="B445" s="55"/>
      <c r="C445" s="55"/>
      <c r="D445" s="55"/>
      <c r="E445" s="57"/>
      <c r="F445" s="57"/>
    </row>
    <row r="446" ht="15" spans="1:6">
      <c r="A446" s="55"/>
      <c r="B446" s="55"/>
      <c r="C446" s="55"/>
      <c r="D446" s="55"/>
      <c r="E446" s="57"/>
      <c r="F446" s="57"/>
    </row>
    <row r="447" ht="15" spans="1:6">
      <c r="A447" s="55"/>
      <c r="B447" s="55"/>
      <c r="C447" s="55"/>
      <c r="D447" s="55"/>
      <c r="E447" s="57"/>
      <c r="F447" s="57"/>
    </row>
    <row r="448" ht="15" spans="1:6">
      <c r="A448" s="55"/>
      <c r="B448" s="55"/>
      <c r="C448" s="55"/>
      <c r="D448" s="55"/>
      <c r="E448" s="57"/>
      <c r="F448" s="57"/>
    </row>
    <row r="449" ht="15" spans="1:6">
      <c r="A449" s="55"/>
      <c r="B449" s="55"/>
      <c r="C449" s="55"/>
      <c r="D449" s="55"/>
      <c r="E449" s="57"/>
      <c r="F449" s="57"/>
    </row>
    <row r="450" ht="15" spans="1:6">
      <c r="A450" s="55"/>
      <c r="B450" s="55"/>
      <c r="C450" s="55"/>
      <c r="D450" s="55"/>
      <c r="E450" s="57"/>
      <c r="F450" s="57"/>
    </row>
    <row r="451" ht="15" spans="1:6">
      <c r="A451" s="55"/>
      <c r="B451" s="55"/>
      <c r="C451" s="55"/>
      <c r="D451" s="55"/>
      <c r="E451" s="57"/>
      <c r="F451" s="57"/>
    </row>
    <row r="452" ht="15" spans="1:6">
      <c r="A452" s="55"/>
      <c r="B452" s="55"/>
      <c r="C452" s="55"/>
      <c r="D452" s="55"/>
      <c r="E452" s="57"/>
      <c r="F452" s="57"/>
    </row>
    <row r="453" ht="15" spans="1:6">
      <c r="A453" s="55"/>
      <c r="B453" s="55"/>
      <c r="C453" s="55"/>
      <c r="D453" s="55"/>
      <c r="E453" s="57"/>
      <c r="F453" s="57"/>
    </row>
    <row r="454" ht="15" spans="1:6">
      <c r="A454" s="55"/>
      <c r="B454" s="55"/>
      <c r="C454" s="55"/>
      <c r="D454" s="55"/>
      <c r="E454" s="57"/>
      <c r="F454" s="57"/>
    </row>
    <row r="455" ht="15" spans="1:6">
      <c r="A455" s="55"/>
      <c r="B455" s="55"/>
      <c r="C455" s="55"/>
      <c r="D455" s="55"/>
      <c r="E455" s="57"/>
      <c r="F455" s="57"/>
    </row>
    <row r="456" ht="15" spans="1:6">
      <c r="A456" s="55"/>
      <c r="B456" s="55"/>
      <c r="C456" s="55"/>
      <c r="D456" s="55"/>
      <c r="E456" s="57"/>
      <c r="F456" s="57"/>
    </row>
    <row r="457" ht="15" spans="1:6">
      <c r="A457" s="55"/>
      <c r="B457" s="55"/>
      <c r="C457" s="55"/>
      <c r="D457" s="55"/>
      <c r="E457" s="57"/>
      <c r="F457" s="57"/>
    </row>
    <row r="458" ht="15" spans="1:6">
      <c r="A458" s="55"/>
      <c r="B458" s="55"/>
      <c r="C458" s="55"/>
      <c r="D458" s="55"/>
      <c r="E458" s="57"/>
      <c r="F458" s="57"/>
    </row>
    <row r="459" ht="15" spans="1:6">
      <c r="A459" s="55"/>
      <c r="B459" s="55"/>
      <c r="C459" s="55"/>
      <c r="D459" s="55"/>
      <c r="E459" s="57"/>
      <c r="F459" s="57"/>
    </row>
    <row r="460" ht="15" spans="1:6">
      <c r="A460" s="55"/>
      <c r="B460" s="55"/>
      <c r="C460" s="55"/>
      <c r="D460" s="55"/>
      <c r="E460" s="57"/>
      <c r="F460" s="57"/>
    </row>
    <row r="461" ht="15" spans="1:6">
      <c r="A461" s="55"/>
      <c r="B461" s="55"/>
      <c r="C461" s="55"/>
      <c r="D461" s="55"/>
      <c r="E461" s="57"/>
      <c r="F461" s="57"/>
    </row>
    <row r="462" ht="15" spans="1:6">
      <c r="A462" s="55"/>
      <c r="B462" s="55"/>
      <c r="C462" s="55"/>
      <c r="D462" s="55"/>
      <c r="E462" s="57"/>
      <c r="F462" s="57"/>
    </row>
    <row r="463" ht="15" spans="1:6">
      <c r="A463" s="55"/>
      <c r="B463" s="55"/>
      <c r="C463" s="55"/>
      <c r="D463" s="55"/>
      <c r="E463" s="57"/>
      <c r="F463" s="57"/>
    </row>
    <row r="464" ht="15" spans="1:6">
      <c r="A464" s="55"/>
      <c r="B464" s="55"/>
      <c r="C464" s="55"/>
      <c r="D464" s="55"/>
      <c r="E464" s="57"/>
      <c r="F464" s="57"/>
    </row>
    <row r="465" ht="15" spans="1:6">
      <c r="A465" s="55"/>
      <c r="B465" s="55"/>
      <c r="C465" s="55"/>
      <c r="D465" s="55"/>
      <c r="E465" s="57"/>
      <c r="F465" s="57"/>
    </row>
    <row r="466" ht="15" spans="1:6">
      <c r="A466" s="55"/>
      <c r="B466" s="55"/>
      <c r="C466" s="55"/>
      <c r="D466" s="55"/>
      <c r="E466" s="57"/>
      <c r="F466" s="57"/>
    </row>
    <row r="467" ht="15" spans="1:6">
      <c r="A467" s="55"/>
      <c r="B467" s="55"/>
      <c r="C467" s="55"/>
      <c r="D467" s="55"/>
      <c r="E467" s="57"/>
      <c r="F467" s="57"/>
    </row>
    <row r="468" ht="15" spans="1:6">
      <c r="A468" s="55"/>
      <c r="B468" s="55"/>
      <c r="C468" s="55"/>
      <c r="D468" s="55"/>
      <c r="E468" s="57"/>
      <c r="F468" s="57"/>
    </row>
    <row r="469" ht="15" spans="1:6">
      <c r="A469" s="55"/>
      <c r="B469" s="55"/>
      <c r="C469" s="55"/>
      <c r="D469" s="55"/>
      <c r="E469" s="57"/>
      <c r="F469" s="57"/>
    </row>
    <row r="470" ht="15" spans="1:6">
      <c r="A470" s="55"/>
      <c r="B470" s="55"/>
      <c r="C470" s="55"/>
      <c r="D470" s="55"/>
      <c r="E470" s="57"/>
      <c r="F470" s="57"/>
    </row>
    <row r="471" ht="15" spans="1:6">
      <c r="A471" s="55"/>
      <c r="B471" s="55"/>
      <c r="C471" s="55"/>
      <c r="D471" s="55"/>
      <c r="E471" s="57"/>
      <c r="F471" s="57"/>
    </row>
    <row r="472" ht="15" spans="1:6">
      <c r="A472" s="55"/>
      <c r="B472" s="55"/>
      <c r="C472" s="55"/>
      <c r="D472" s="55"/>
      <c r="E472" s="57"/>
      <c r="F472" s="57"/>
    </row>
    <row r="473" ht="15" spans="1:6">
      <c r="A473" s="55"/>
      <c r="B473" s="55"/>
      <c r="C473" s="55"/>
      <c r="D473" s="55"/>
      <c r="E473" s="57"/>
      <c r="F473" s="57"/>
    </row>
    <row r="474" ht="15" spans="1:6">
      <c r="A474" s="55"/>
      <c r="B474" s="55"/>
      <c r="C474" s="55"/>
      <c r="D474" s="55"/>
      <c r="E474" s="57"/>
      <c r="F474" s="57"/>
    </row>
    <row r="475" ht="15" spans="1:6">
      <c r="A475" s="55"/>
      <c r="B475" s="55"/>
      <c r="C475" s="55"/>
      <c r="D475" s="55"/>
      <c r="E475" s="57"/>
      <c r="F475" s="57"/>
    </row>
    <row r="476" ht="15" spans="1:6">
      <c r="A476" s="55"/>
      <c r="B476" s="55"/>
      <c r="C476" s="55"/>
      <c r="D476" s="55"/>
      <c r="E476" s="57"/>
      <c r="F476" s="57"/>
    </row>
    <row r="477" ht="15" spans="1:6">
      <c r="A477" s="55"/>
      <c r="B477" s="55"/>
      <c r="C477" s="55"/>
      <c r="D477" s="55"/>
      <c r="E477" s="57"/>
      <c r="F477" s="57"/>
    </row>
    <row r="478" ht="15" spans="1:6">
      <c r="A478" s="55"/>
      <c r="B478" s="55"/>
      <c r="C478" s="55"/>
      <c r="D478" s="55"/>
      <c r="E478" s="57"/>
      <c r="F478" s="57"/>
    </row>
    <row r="479" ht="15" spans="1:6">
      <c r="A479" s="55"/>
      <c r="B479" s="55"/>
      <c r="C479" s="55"/>
      <c r="D479" s="55"/>
      <c r="E479" s="57"/>
      <c r="F479" s="57"/>
    </row>
    <row r="480" ht="15" spans="1:6">
      <c r="A480" s="55"/>
      <c r="B480" s="55"/>
      <c r="C480" s="55"/>
      <c r="D480" s="55"/>
      <c r="E480" s="57"/>
      <c r="F480" s="57"/>
    </row>
    <row r="481" ht="15" spans="1:6">
      <c r="A481" s="55"/>
      <c r="B481" s="55"/>
      <c r="C481" s="55"/>
      <c r="D481" s="55"/>
      <c r="E481" s="57"/>
      <c r="F481" s="57"/>
    </row>
    <row r="482" ht="15" spans="1:6">
      <c r="A482" s="55"/>
      <c r="B482" s="55"/>
      <c r="C482" s="55"/>
      <c r="D482" s="55"/>
      <c r="E482" s="57"/>
      <c r="F482" s="57"/>
    </row>
    <row r="483" ht="15" spans="1:6">
      <c r="A483" s="55"/>
      <c r="B483" s="55"/>
      <c r="C483" s="55"/>
      <c r="D483" s="55"/>
      <c r="E483" s="57"/>
      <c r="F483" s="57"/>
    </row>
    <row r="484" ht="15" spans="1:6">
      <c r="A484" s="55"/>
      <c r="B484" s="55"/>
      <c r="C484" s="55"/>
      <c r="D484" s="55"/>
      <c r="E484" s="57"/>
      <c r="F484" s="57"/>
    </row>
    <row r="485" ht="15" spans="1:6">
      <c r="A485" s="55"/>
      <c r="B485" s="55"/>
      <c r="C485" s="55"/>
      <c r="D485" s="55"/>
      <c r="E485" s="57"/>
      <c r="F485" s="57"/>
    </row>
    <row r="486" ht="15" spans="1:6">
      <c r="A486" s="55"/>
      <c r="B486" s="55"/>
      <c r="C486" s="55"/>
      <c r="D486" s="55"/>
      <c r="E486" s="57"/>
      <c r="F486" s="57"/>
    </row>
    <row r="487" ht="15" spans="1:6">
      <c r="A487" s="55"/>
      <c r="B487" s="55"/>
      <c r="C487" s="55"/>
      <c r="D487" s="55"/>
      <c r="E487" s="57"/>
      <c r="F487" s="57"/>
    </row>
    <row r="488" ht="15" spans="1:6">
      <c r="A488" s="55"/>
      <c r="B488" s="55"/>
      <c r="C488" s="55"/>
      <c r="D488" s="55"/>
      <c r="E488" s="57"/>
      <c r="F488" s="57"/>
    </row>
    <row r="489" ht="15" spans="1:6">
      <c r="A489" s="55"/>
      <c r="B489" s="55"/>
      <c r="C489" s="55"/>
      <c r="D489" s="55"/>
      <c r="E489" s="57"/>
      <c r="F489" s="57"/>
    </row>
    <row r="490" ht="15" spans="1:6">
      <c r="A490" s="55"/>
      <c r="B490" s="55"/>
      <c r="C490" s="55"/>
      <c r="D490" s="55"/>
      <c r="E490" s="57"/>
      <c r="F490" s="57"/>
    </row>
    <row r="491" ht="15" spans="1:6">
      <c r="A491" s="55"/>
      <c r="B491" s="55"/>
      <c r="C491" s="55"/>
      <c r="D491" s="55"/>
      <c r="E491" s="57"/>
      <c r="F491" s="57"/>
    </row>
    <row r="492" ht="15" spans="1:6">
      <c r="A492" s="55"/>
      <c r="B492" s="55"/>
      <c r="C492" s="55"/>
      <c r="D492" s="55"/>
      <c r="E492" s="57"/>
      <c r="F492" s="57"/>
    </row>
    <row r="493" ht="15" spans="1:6">
      <c r="A493" s="55"/>
      <c r="B493" s="55"/>
      <c r="C493" s="55"/>
      <c r="D493" s="55"/>
      <c r="E493" s="57"/>
      <c r="F493" s="57"/>
    </row>
    <row r="494" ht="15" spans="1:6">
      <c r="A494" s="55"/>
      <c r="B494" s="55"/>
      <c r="C494" s="55"/>
      <c r="D494" s="55"/>
      <c r="E494" s="57"/>
      <c r="F494" s="57"/>
    </row>
    <row r="495" ht="15" spans="1:6">
      <c r="A495" s="55"/>
      <c r="B495" s="55"/>
      <c r="C495" s="55"/>
      <c r="D495" s="55"/>
      <c r="E495" s="57"/>
      <c r="F495" s="57"/>
    </row>
    <row r="496" ht="15" spans="1:6">
      <c r="A496" s="55"/>
      <c r="B496" s="55"/>
      <c r="C496" s="55"/>
      <c r="D496" s="55"/>
      <c r="E496" s="57"/>
      <c r="F496" s="57"/>
    </row>
    <row r="497" ht="15" spans="1:6">
      <c r="A497" s="55"/>
      <c r="B497" s="55"/>
      <c r="C497" s="55"/>
      <c r="D497" s="55"/>
      <c r="E497" s="57"/>
      <c r="F497" s="57"/>
    </row>
    <row r="498" ht="15" spans="1:6">
      <c r="A498" s="55"/>
      <c r="B498" s="55"/>
      <c r="C498" s="55"/>
      <c r="D498" s="55"/>
      <c r="E498" s="57"/>
      <c r="F498" s="57"/>
    </row>
    <row r="499" ht="15" spans="1:6">
      <c r="A499" s="55"/>
      <c r="B499" s="55"/>
      <c r="C499" s="55"/>
      <c r="D499" s="55"/>
      <c r="E499" s="57"/>
      <c r="F499" s="57"/>
    </row>
    <row r="500" ht="15" spans="1:6">
      <c r="A500" s="55"/>
      <c r="B500" s="55"/>
      <c r="C500" s="55"/>
      <c r="D500" s="55"/>
      <c r="E500" s="57"/>
      <c r="F500" s="57"/>
    </row>
    <row r="501" ht="15" spans="1:6">
      <c r="A501" s="55"/>
      <c r="B501" s="55"/>
      <c r="C501" s="55"/>
      <c r="D501" s="55"/>
      <c r="E501" s="57"/>
      <c r="F501" s="57"/>
    </row>
    <row r="502" ht="15" spans="1:6">
      <c r="A502" s="55"/>
      <c r="B502" s="55"/>
      <c r="C502" s="55"/>
      <c r="D502" s="55"/>
      <c r="E502" s="57"/>
      <c r="F502" s="57"/>
    </row>
    <row r="503" ht="15" spans="1:6">
      <c r="A503" s="55"/>
      <c r="B503" s="55"/>
      <c r="C503" s="55"/>
      <c r="D503" s="55"/>
      <c r="E503" s="57"/>
      <c r="F503" s="57"/>
    </row>
    <row r="504" ht="15" spans="1:6">
      <c r="A504" s="55"/>
      <c r="B504" s="55"/>
      <c r="C504" s="55"/>
      <c r="D504" s="55"/>
      <c r="E504" s="57"/>
      <c r="F504" s="57"/>
    </row>
    <row r="505" ht="15" spans="1:6">
      <c r="A505" s="55"/>
      <c r="B505" s="55"/>
      <c r="C505" s="55"/>
      <c r="D505" s="55"/>
      <c r="E505" s="57"/>
      <c r="F505" s="57"/>
    </row>
    <row r="506" ht="15" spans="1:6">
      <c r="A506" s="55"/>
      <c r="B506" s="55"/>
      <c r="C506" s="55"/>
      <c r="D506" s="55"/>
      <c r="E506" s="57"/>
      <c r="F506" s="57"/>
    </row>
    <row r="507" ht="15" spans="1:6">
      <c r="A507" s="55"/>
      <c r="B507" s="55"/>
      <c r="C507" s="55"/>
      <c r="D507" s="55"/>
      <c r="E507" s="57"/>
      <c r="F507" s="57"/>
    </row>
    <row r="508" ht="15" spans="1:6">
      <c r="A508" s="55"/>
      <c r="B508" s="55"/>
      <c r="C508" s="55"/>
      <c r="D508" s="55"/>
      <c r="E508" s="57"/>
      <c r="F508" s="57"/>
    </row>
    <row r="509" ht="15" spans="1:6">
      <c r="A509" s="55"/>
      <c r="B509" s="55"/>
      <c r="C509" s="55"/>
      <c r="D509" s="55"/>
      <c r="E509" s="57"/>
      <c r="F509" s="57"/>
    </row>
    <row r="510" ht="15" spans="1:6">
      <c r="A510" s="55"/>
      <c r="B510" s="55"/>
      <c r="C510" s="55"/>
      <c r="D510" s="55"/>
      <c r="E510" s="57"/>
      <c r="F510" s="57"/>
    </row>
    <row r="511" ht="15" spans="1:6">
      <c r="A511" s="55"/>
      <c r="B511" s="55"/>
      <c r="C511" s="55"/>
      <c r="D511" s="55"/>
      <c r="E511" s="57"/>
      <c r="F511" s="57"/>
    </row>
    <row r="512" ht="15" spans="1:6">
      <c r="A512" s="55"/>
      <c r="B512" s="55"/>
      <c r="C512" s="55"/>
      <c r="D512" s="55"/>
      <c r="E512" s="57"/>
      <c r="F512" s="57"/>
    </row>
    <row r="513" ht="15" spans="1:6">
      <c r="A513" s="55"/>
      <c r="B513" s="55"/>
      <c r="C513" s="55"/>
      <c r="D513" s="55"/>
      <c r="E513" s="57"/>
      <c r="F513" s="57"/>
    </row>
    <row r="514" ht="15" spans="1:6">
      <c r="A514" s="55"/>
      <c r="B514" s="55"/>
      <c r="C514" s="55"/>
      <c r="D514" s="55"/>
      <c r="E514" s="57"/>
      <c r="F514" s="57"/>
    </row>
    <row r="515" ht="15" spans="1:6">
      <c r="A515" s="55"/>
      <c r="B515" s="55"/>
      <c r="C515" s="55"/>
      <c r="D515" s="55"/>
      <c r="E515" s="57"/>
      <c r="F515" s="57"/>
    </row>
    <row r="516" ht="15" spans="1:6">
      <c r="A516" s="55"/>
      <c r="B516" s="55"/>
      <c r="C516" s="55"/>
      <c r="D516" s="55"/>
      <c r="E516" s="57"/>
      <c r="F516" s="57"/>
    </row>
    <row r="517" ht="15" spans="1:6">
      <c r="A517" s="55"/>
      <c r="B517" s="55"/>
      <c r="C517" s="55"/>
      <c r="D517" s="55"/>
      <c r="E517" s="57"/>
      <c r="F517" s="57"/>
    </row>
    <row r="518" ht="15" spans="1:6">
      <c r="A518" s="55"/>
      <c r="B518" s="55"/>
      <c r="C518" s="55"/>
      <c r="D518" s="55"/>
      <c r="E518" s="57"/>
      <c r="F518" s="57"/>
    </row>
    <row r="519" ht="15" spans="1:6">
      <c r="A519" s="55"/>
      <c r="B519" s="55"/>
      <c r="C519" s="55"/>
      <c r="D519" s="55"/>
      <c r="E519" s="57"/>
      <c r="F519" s="57"/>
    </row>
    <row r="520" ht="15" spans="1:6">
      <c r="A520" s="55"/>
      <c r="B520" s="55"/>
      <c r="C520" s="55"/>
      <c r="D520" s="55"/>
      <c r="E520" s="57"/>
      <c r="F520" s="57"/>
    </row>
    <row r="521" ht="15" spans="1:6">
      <c r="A521" s="55"/>
      <c r="B521" s="55"/>
      <c r="C521" s="55"/>
      <c r="D521" s="55"/>
      <c r="E521" s="57"/>
      <c r="F521" s="57"/>
    </row>
    <row r="522" ht="15" spans="1:6">
      <c r="A522" s="55"/>
      <c r="B522" s="55"/>
      <c r="C522" s="55"/>
      <c r="D522" s="55"/>
      <c r="E522" s="57"/>
      <c r="F522" s="57"/>
    </row>
    <row r="523" ht="15" spans="1:6">
      <c r="A523" s="55"/>
      <c r="B523" s="55"/>
      <c r="C523" s="55"/>
      <c r="D523" s="55"/>
      <c r="E523" s="57"/>
      <c r="F523" s="57"/>
    </row>
    <row r="524" ht="15" spans="1:6">
      <c r="A524" s="55"/>
      <c r="B524" s="55"/>
      <c r="C524" s="55"/>
      <c r="D524" s="55"/>
      <c r="E524" s="57"/>
      <c r="F524" s="57"/>
    </row>
    <row r="525" ht="15" spans="1:6">
      <c r="A525" s="55"/>
      <c r="B525" s="55"/>
      <c r="C525" s="55"/>
      <c r="D525" s="55"/>
      <c r="E525" s="57"/>
      <c r="F525" s="57"/>
    </row>
    <row r="526" ht="15" spans="1:6">
      <c r="A526" s="55"/>
      <c r="B526" s="55"/>
      <c r="C526" s="55"/>
      <c r="D526" s="55"/>
      <c r="E526" s="57"/>
      <c r="F526" s="57"/>
    </row>
    <row r="527" ht="15" spans="1:6">
      <c r="A527" s="55"/>
      <c r="B527" s="55"/>
      <c r="C527" s="55"/>
      <c r="D527" s="55"/>
      <c r="E527" s="57"/>
      <c r="F527" s="57"/>
    </row>
    <row r="528" ht="15" spans="1:6">
      <c r="A528" s="55"/>
      <c r="B528" s="55"/>
      <c r="C528" s="55"/>
      <c r="D528" s="55"/>
      <c r="E528" s="57"/>
      <c r="F528" s="57"/>
    </row>
    <row r="529" ht="15" spans="1:6">
      <c r="A529" s="55"/>
      <c r="B529" s="55"/>
      <c r="C529" s="55"/>
      <c r="D529" s="55"/>
      <c r="E529" s="57"/>
      <c r="F529" s="57"/>
    </row>
    <row r="530" ht="15" spans="1:6">
      <c r="A530" s="55"/>
      <c r="B530" s="55"/>
      <c r="C530" s="55"/>
      <c r="D530" s="55"/>
      <c r="E530" s="57"/>
      <c r="F530" s="57"/>
    </row>
    <row r="531" ht="15" spans="1:6">
      <c r="A531" s="55"/>
      <c r="B531" s="55"/>
      <c r="C531" s="55"/>
      <c r="D531" s="55"/>
      <c r="E531" s="57"/>
      <c r="F531" s="57"/>
    </row>
    <row r="532" ht="15" spans="1:6">
      <c r="A532" s="55"/>
      <c r="B532" s="55"/>
      <c r="C532" s="55"/>
      <c r="D532" s="55"/>
      <c r="E532" s="57"/>
      <c r="F532" s="57"/>
    </row>
    <row r="533" ht="15" spans="1:6">
      <c r="A533" s="55"/>
      <c r="B533" s="55"/>
      <c r="C533" s="55"/>
      <c r="D533" s="55"/>
      <c r="E533" s="57"/>
      <c r="F533" s="57"/>
    </row>
    <row r="534" ht="15" spans="1:6">
      <c r="A534" s="55"/>
      <c r="B534" s="55"/>
      <c r="C534" s="55"/>
      <c r="D534" s="55"/>
      <c r="E534" s="57"/>
      <c r="F534" s="57"/>
    </row>
    <row r="535" ht="15" spans="1:6">
      <c r="A535" s="55"/>
      <c r="B535" s="55"/>
      <c r="C535" s="55"/>
      <c r="D535" s="55"/>
      <c r="E535" s="57"/>
      <c r="F535" s="57"/>
    </row>
    <row r="536" ht="15" spans="1:6">
      <c r="A536" s="55"/>
      <c r="B536" s="55"/>
      <c r="C536" s="55"/>
      <c r="D536" s="55"/>
      <c r="E536" s="57"/>
      <c r="F536" s="57"/>
    </row>
    <row r="537" ht="15" spans="1:6">
      <c r="A537" s="55"/>
      <c r="B537" s="55"/>
      <c r="C537" s="55"/>
      <c r="D537" s="55"/>
      <c r="E537" s="57"/>
      <c r="F537" s="57"/>
    </row>
    <row r="538" ht="15" spans="1:6">
      <c r="A538" s="55"/>
      <c r="B538" s="55"/>
      <c r="C538" s="55"/>
      <c r="D538" s="55"/>
      <c r="E538" s="57"/>
      <c r="F538" s="57"/>
    </row>
    <row r="539" ht="15" spans="1:6">
      <c r="A539" s="55"/>
      <c r="B539" s="55"/>
      <c r="C539" s="55"/>
      <c r="D539" s="55"/>
      <c r="E539" s="57"/>
      <c r="F539" s="57"/>
    </row>
    <row r="540" ht="15" spans="1:6">
      <c r="A540" s="55"/>
      <c r="B540" s="55"/>
      <c r="C540" s="55"/>
      <c r="D540" s="55"/>
      <c r="E540" s="57"/>
      <c r="F540" s="57"/>
    </row>
    <row r="541" ht="15" spans="1:6">
      <c r="A541" s="55"/>
      <c r="B541" s="55"/>
      <c r="C541" s="55"/>
      <c r="D541" s="55"/>
      <c r="E541" s="57"/>
      <c r="F541" s="57"/>
    </row>
    <row r="542" ht="15" spans="1:6">
      <c r="A542" s="55"/>
      <c r="B542" s="55"/>
      <c r="C542" s="55"/>
      <c r="D542" s="55"/>
      <c r="E542" s="57"/>
      <c r="F542" s="57"/>
    </row>
    <row r="543" ht="15" spans="1:6">
      <c r="A543" s="55"/>
      <c r="B543" s="55"/>
      <c r="C543" s="55"/>
      <c r="D543" s="55"/>
      <c r="E543" s="57"/>
      <c r="F543" s="57"/>
    </row>
    <row r="544" ht="15" spans="1:6">
      <c r="A544" s="55"/>
      <c r="B544" s="55"/>
      <c r="C544" s="55"/>
      <c r="D544" s="55"/>
      <c r="E544" s="57"/>
      <c r="F544" s="57"/>
    </row>
    <row r="545" ht="15" spans="1:6">
      <c r="A545" s="55"/>
      <c r="B545" s="55"/>
      <c r="C545" s="55"/>
      <c r="D545" s="55"/>
      <c r="E545" s="57"/>
      <c r="F545" s="57"/>
    </row>
    <row r="546" ht="15" spans="1:6">
      <c r="A546" s="55"/>
      <c r="B546" s="55"/>
      <c r="C546" s="55"/>
      <c r="D546" s="55"/>
      <c r="E546" s="57"/>
      <c r="F546" s="57"/>
    </row>
    <row r="547" ht="15" spans="1:6">
      <c r="A547" s="55"/>
      <c r="B547" s="55"/>
      <c r="C547" s="55"/>
      <c r="D547" s="55"/>
      <c r="E547" s="57"/>
      <c r="F547" s="57"/>
    </row>
    <row r="548" ht="15" spans="1:6">
      <c r="A548" s="55"/>
      <c r="B548" s="55"/>
      <c r="C548" s="55"/>
      <c r="D548" s="55"/>
      <c r="E548" s="57"/>
      <c r="F548" s="57"/>
    </row>
    <row r="549" ht="15" spans="1:6">
      <c r="A549" s="55"/>
      <c r="B549" s="55"/>
      <c r="C549" s="55"/>
      <c r="D549" s="55"/>
      <c r="E549" s="57"/>
      <c r="F549" s="57"/>
    </row>
    <row r="550" ht="15" spans="1:6">
      <c r="A550" s="55"/>
      <c r="B550" s="55"/>
      <c r="C550" s="55"/>
      <c r="D550" s="55"/>
      <c r="E550" s="57"/>
      <c r="F550" s="57"/>
    </row>
    <row r="551" ht="15" spans="1:6">
      <c r="A551" s="55"/>
      <c r="B551" s="55"/>
      <c r="C551" s="55"/>
      <c r="D551" s="55"/>
      <c r="E551" s="57"/>
      <c r="F551" s="57"/>
    </row>
    <row r="552" ht="15" spans="1:6">
      <c r="A552" s="55"/>
      <c r="B552" s="55"/>
      <c r="C552" s="55"/>
      <c r="D552" s="55"/>
      <c r="E552" s="57"/>
      <c r="F552" s="57"/>
    </row>
    <row r="553" ht="15" spans="1:6">
      <c r="A553" s="55"/>
      <c r="B553" s="55"/>
      <c r="C553" s="55"/>
      <c r="D553" s="55"/>
      <c r="E553" s="57"/>
      <c r="F553" s="57"/>
    </row>
    <row r="554" ht="15" spans="1:6">
      <c r="A554" s="55"/>
      <c r="B554" s="55"/>
      <c r="C554" s="55"/>
      <c r="D554" s="55"/>
      <c r="E554" s="57"/>
      <c r="F554" s="57"/>
    </row>
    <row r="555" ht="15" spans="1:6">
      <c r="A555" s="55"/>
      <c r="B555" s="55"/>
      <c r="C555" s="55"/>
      <c r="D555" s="55"/>
      <c r="E555" s="57"/>
      <c r="F555" s="57"/>
    </row>
    <row r="556" ht="15" spans="1:6">
      <c r="A556" s="55"/>
      <c r="B556" s="55"/>
      <c r="C556" s="55"/>
      <c r="D556" s="55"/>
      <c r="E556" s="57"/>
      <c r="F556" s="57"/>
    </row>
    <row r="557" ht="15" spans="1:6">
      <c r="A557" s="55"/>
      <c r="B557" s="55"/>
      <c r="C557" s="55"/>
      <c r="D557" s="55"/>
      <c r="E557" s="57"/>
      <c r="F557" s="57"/>
    </row>
    <row r="558" ht="15" spans="1:6">
      <c r="A558" s="55"/>
      <c r="B558" s="55"/>
      <c r="C558" s="55"/>
      <c r="D558" s="55"/>
      <c r="E558" s="57"/>
      <c r="F558" s="57"/>
    </row>
    <row r="559" ht="15" spans="1:6">
      <c r="A559" s="55"/>
      <c r="B559" s="55"/>
      <c r="C559" s="55"/>
      <c r="D559" s="55"/>
      <c r="E559" s="57"/>
      <c r="F559" s="57"/>
    </row>
    <row r="560" ht="15" spans="1:6">
      <c r="A560" s="55"/>
      <c r="B560" s="55"/>
      <c r="C560" s="55"/>
      <c r="D560" s="55"/>
      <c r="E560" s="57"/>
      <c r="F560" s="57"/>
    </row>
    <row r="561" ht="15" spans="1:6">
      <c r="A561" s="55"/>
      <c r="B561" s="55"/>
      <c r="C561" s="55"/>
      <c r="D561" s="55"/>
      <c r="E561" s="57"/>
      <c r="F561" s="57"/>
    </row>
    <row r="562" ht="15" spans="1:6">
      <c r="A562" s="55"/>
      <c r="B562" s="55"/>
      <c r="C562" s="55"/>
      <c r="D562" s="55"/>
      <c r="E562" s="57"/>
      <c r="F562" s="57"/>
    </row>
    <row r="563" ht="15" spans="1:6">
      <c r="A563" s="55"/>
      <c r="B563" s="55"/>
      <c r="C563" s="55"/>
      <c r="D563" s="55"/>
      <c r="E563" s="57"/>
      <c r="F563" s="57"/>
    </row>
    <row r="564" ht="15" spans="1:6">
      <c r="A564" s="55"/>
      <c r="B564" s="55"/>
      <c r="C564" s="55"/>
      <c r="D564" s="55"/>
      <c r="E564" s="57"/>
      <c r="F564" s="57"/>
    </row>
    <row r="565" ht="15" spans="1:6">
      <c r="A565" s="55"/>
      <c r="B565" s="55"/>
      <c r="C565" s="55"/>
      <c r="D565" s="55"/>
      <c r="E565" s="57"/>
      <c r="F565" s="57"/>
    </row>
    <row r="566" ht="15" spans="1:6">
      <c r="A566" s="55"/>
      <c r="B566" s="55"/>
      <c r="C566" s="55"/>
      <c r="D566" s="55"/>
      <c r="E566" s="57"/>
      <c r="F566" s="57"/>
    </row>
    <row r="567" ht="15" spans="1:6">
      <c r="A567" s="55"/>
      <c r="B567" s="55"/>
      <c r="C567" s="55"/>
      <c r="D567" s="55"/>
      <c r="E567" s="57"/>
      <c r="F567" s="57"/>
    </row>
    <row r="568" ht="15" spans="1:6">
      <c r="A568" s="55"/>
      <c r="B568" s="55"/>
      <c r="C568" s="55"/>
      <c r="D568" s="55"/>
      <c r="E568" s="57"/>
      <c r="F568" s="57"/>
    </row>
    <row r="569" ht="15" spans="1:6">
      <c r="A569" s="55"/>
      <c r="B569" s="55"/>
      <c r="C569" s="55"/>
      <c r="D569" s="55"/>
      <c r="E569" s="57"/>
      <c r="F569" s="57"/>
    </row>
    <row r="570" ht="15" spans="1:6">
      <c r="A570" s="55"/>
      <c r="B570" s="55"/>
      <c r="C570" s="55"/>
      <c r="D570" s="55"/>
      <c r="E570" s="57"/>
      <c r="F570" s="57"/>
    </row>
    <row r="571" ht="15" spans="1:6">
      <c r="A571" s="55"/>
      <c r="B571" s="55"/>
      <c r="C571" s="55"/>
      <c r="D571" s="55"/>
      <c r="E571" s="57"/>
      <c r="F571" s="57"/>
    </row>
    <row r="572" ht="15" spans="1:6">
      <c r="A572" s="55"/>
      <c r="B572" s="55"/>
      <c r="C572" s="55"/>
      <c r="D572" s="55"/>
      <c r="E572" s="57"/>
      <c r="F572" s="57"/>
    </row>
    <row r="573" ht="15" spans="1:6">
      <c r="A573" s="55"/>
      <c r="B573" s="55"/>
      <c r="C573" s="55"/>
      <c r="D573" s="55"/>
      <c r="E573" s="57"/>
      <c r="F573" s="57"/>
    </row>
    <row r="574" ht="15" spans="1:6">
      <c r="A574" s="55"/>
      <c r="B574" s="55"/>
      <c r="C574" s="55"/>
      <c r="D574" s="55"/>
      <c r="E574" s="57"/>
      <c r="F574" s="57"/>
    </row>
    <row r="575" ht="15" spans="1:6">
      <c r="A575" s="55"/>
      <c r="B575" s="55"/>
      <c r="C575" s="55"/>
      <c r="D575" s="55"/>
      <c r="E575" s="57"/>
      <c r="F575" s="57"/>
    </row>
    <row r="576" ht="15" spans="1:6">
      <c r="A576" s="55"/>
      <c r="B576" s="55"/>
      <c r="C576" s="55"/>
      <c r="D576" s="55"/>
      <c r="E576" s="57"/>
      <c r="F576" s="57"/>
    </row>
    <row r="577" ht="15" spans="1:6">
      <c r="A577" s="55"/>
      <c r="B577" s="55"/>
      <c r="C577" s="55"/>
      <c r="D577" s="55"/>
      <c r="E577" s="57"/>
      <c r="F577" s="57"/>
    </row>
    <row r="578" ht="15" spans="1:6">
      <c r="A578" s="55"/>
      <c r="B578" s="55"/>
      <c r="C578" s="55"/>
      <c r="D578" s="55"/>
      <c r="E578" s="57"/>
      <c r="F578" s="57"/>
    </row>
    <row r="579" ht="15" spans="1:6">
      <c r="A579" s="55"/>
      <c r="B579" s="55"/>
      <c r="C579" s="55"/>
      <c r="D579" s="55"/>
      <c r="E579" s="57"/>
      <c r="F579" s="57"/>
    </row>
    <row r="580" ht="15" spans="1:6">
      <c r="A580" s="55"/>
      <c r="B580" s="55"/>
      <c r="C580" s="55"/>
      <c r="D580" s="55"/>
      <c r="E580" s="57"/>
      <c r="F580" s="57"/>
    </row>
    <row r="581" ht="15" spans="1:6">
      <c r="A581" s="55"/>
      <c r="B581" s="55"/>
      <c r="C581" s="55"/>
      <c r="D581" s="55"/>
      <c r="E581" s="57"/>
      <c r="F581" s="57"/>
    </row>
    <row r="582" ht="15" spans="1:6">
      <c r="A582" s="55"/>
      <c r="B582" s="55"/>
      <c r="C582" s="55"/>
      <c r="D582" s="55"/>
      <c r="E582" s="57"/>
      <c r="F582" s="57"/>
    </row>
    <row r="583" ht="15" spans="1:6">
      <c r="A583" s="55"/>
      <c r="B583" s="55"/>
      <c r="C583" s="55"/>
      <c r="D583" s="55"/>
      <c r="E583" s="57"/>
      <c r="F583" s="57"/>
    </row>
    <row r="584" ht="15" spans="1:6">
      <c r="A584" s="55"/>
      <c r="B584" s="55"/>
      <c r="C584" s="55"/>
      <c r="D584" s="55"/>
      <c r="E584" s="57"/>
      <c r="F584" s="57"/>
    </row>
    <row r="585" ht="15" spans="1:6">
      <c r="A585" s="55"/>
      <c r="B585" s="55"/>
      <c r="C585" s="55"/>
      <c r="D585" s="55"/>
      <c r="E585" s="57"/>
      <c r="F585" s="57"/>
    </row>
    <row r="586" ht="15" spans="1:6">
      <c r="A586" s="55"/>
      <c r="B586" s="55"/>
      <c r="C586" s="55"/>
      <c r="D586" s="55"/>
      <c r="E586" s="57"/>
      <c r="F586" s="57"/>
    </row>
    <row r="587" ht="15" spans="1:6">
      <c r="A587" s="55"/>
      <c r="B587" s="55"/>
      <c r="C587" s="55"/>
      <c r="D587" s="55"/>
      <c r="E587" s="57"/>
      <c r="F587" s="57"/>
    </row>
    <row r="588" ht="15" spans="1:6">
      <c r="A588" s="55"/>
      <c r="B588" s="55"/>
      <c r="C588" s="55"/>
      <c r="D588" s="55"/>
      <c r="E588" s="57"/>
      <c r="F588" s="57"/>
    </row>
    <row r="589" ht="15" spans="1:6">
      <c r="A589" s="55"/>
      <c r="B589" s="55"/>
      <c r="C589" s="55"/>
      <c r="D589" s="55"/>
      <c r="E589" s="57"/>
      <c r="F589" s="57"/>
    </row>
    <row r="590" ht="15" spans="1:6">
      <c r="A590" s="55"/>
      <c r="B590" s="55"/>
      <c r="C590" s="55"/>
      <c r="D590" s="55"/>
      <c r="E590" s="57"/>
      <c r="F590" s="57"/>
    </row>
    <row r="591" ht="15" spans="1:6">
      <c r="A591" s="55"/>
      <c r="B591" s="55"/>
      <c r="C591" s="55"/>
      <c r="D591" s="55"/>
      <c r="E591" s="57"/>
      <c r="F591" s="57"/>
    </row>
    <row r="592" ht="15" spans="1:6">
      <c r="A592" s="55"/>
      <c r="B592" s="55"/>
      <c r="C592" s="55"/>
      <c r="D592" s="55"/>
      <c r="E592" s="57"/>
      <c r="F592" s="57"/>
    </row>
    <row r="593" ht="15" spans="1:6">
      <c r="A593" s="55"/>
      <c r="B593" s="55"/>
      <c r="C593" s="55"/>
      <c r="D593" s="55"/>
      <c r="E593" s="57"/>
      <c r="F593" s="57"/>
    </row>
    <row r="594" ht="15" spans="1:6">
      <c r="A594" s="55"/>
      <c r="B594" s="55"/>
      <c r="C594" s="55"/>
      <c r="D594" s="55"/>
      <c r="E594" s="57"/>
      <c r="F594" s="57"/>
    </row>
    <row r="595" ht="15" spans="1:6">
      <c r="A595" s="55"/>
      <c r="B595" s="55"/>
      <c r="C595" s="55"/>
      <c r="D595" s="55"/>
      <c r="E595" s="57"/>
      <c r="F595" s="57"/>
    </row>
    <row r="596" ht="15" spans="1:6">
      <c r="A596" s="55"/>
      <c r="B596" s="55"/>
      <c r="C596" s="55"/>
      <c r="D596" s="55"/>
      <c r="E596" s="57"/>
      <c r="F596" s="57"/>
    </row>
    <row r="597" ht="15" spans="1:6">
      <c r="A597" s="55"/>
      <c r="B597" s="55"/>
      <c r="C597" s="55"/>
      <c r="D597" s="55"/>
      <c r="E597" s="57"/>
      <c r="F597" s="57"/>
    </row>
    <row r="598" ht="15" spans="1:6">
      <c r="A598" s="55"/>
      <c r="B598" s="55"/>
      <c r="C598" s="55"/>
      <c r="D598" s="55"/>
      <c r="E598" s="57"/>
      <c r="F598" s="57"/>
    </row>
    <row r="599" ht="15" spans="1:6">
      <c r="A599" s="55"/>
      <c r="B599" s="55"/>
      <c r="C599" s="55"/>
      <c r="D599" s="55"/>
      <c r="E599" s="57"/>
      <c r="F599" s="57"/>
    </row>
    <row r="600" ht="15" spans="1:6">
      <c r="A600" s="55"/>
      <c r="B600" s="55"/>
      <c r="C600" s="55"/>
      <c r="D600" s="55"/>
      <c r="E600" s="57"/>
      <c r="F600" s="57"/>
    </row>
    <row r="601" ht="15" spans="1:6">
      <c r="A601" s="55"/>
      <c r="B601" s="55"/>
      <c r="C601" s="55"/>
      <c r="D601" s="55"/>
      <c r="E601" s="57"/>
      <c r="F601" s="57"/>
    </row>
    <row r="602" ht="15" spans="1:6">
      <c r="A602" s="55"/>
      <c r="B602" s="55"/>
      <c r="C602" s="55"/>
      <c r="D602" s="55"/>
      <c r="E602" s="57"/>
      <c r="F602" s="57"/>
    </row>
    <row r="603" ht="15" spans="1:6">
      <c r="A603" s="55"/>
      <c r="B603" s="55"/>
      <c r="C603" s="55"/>
      <c r="D603" s="55"/>
      <c r="E603" s="57"/>
      <c r="F603" s="57"/>
    </row>
    <row r="604" ht="15" spans="1:6">
      <c r="A604" s="55"/>
      <c r="B604" s="55"/>
      <c r="C604" s="55"/>
      <c r="D604" s="55"/>
      <c r="E604" s="57"/>
      <c r="F604" s="57"/>
    </row>
    <row r="605" ht="15" spans="1:6">
      <c r="A605" s="55"/>
      <c r="B605" s="55"/>
      <c r="C605" s="55"/>
      <c r="D605" s="55"/>
      <c r="E605" s="57"/>
      <c r="F605" s="57"/>
    </row>
    <row r="606" ht="15" spans="1:6">
      <c r="A606" s="55"/>
      <c r="B606" s="55"/>
      <c r="C606" s="55"/>
      <c r="D606" s="55"/>
      <c r="E606" s="57"/>
      <c r="F606" s="57"/>
    </row>
    <row r="607" ht="15" spans="1:6">
      <c r="A607" s="55"/>
      <c r="B607" s="55"/>
      <c r="C607" s="55"/>
      <c r="D607" s="55"/>
      <c r="E607" s="57"/>
      <c r="F607" s="57"/>
    </row>
    <row r="608" ht="15" spans="1:6">
      <c r="A608" s="55"/>
      <c r="B608" s="55"/>
      <c r="C608" s="55"/>
      <c r="D608" s="55"/>
      <c r="E608" s="57"/>
      <c r="F608" s="57"/>
    </row>
    <row r="609" ht="15" spans="1:6">
      <c r="A609" s="55"/>
      <c r="B609" s="55"/>
      <c r="C609" s="55"/>
      <c r="D609" s="55"/>
      <c r="E609" s="57"/>
      <c r="F609" s="57"/>
    </row>
    <row r="610" ht="15" spans="1:6">
      <c r="A610" s="55"/>
      <c r="B610" s="55"/>
      <c r="C610" s="55"/>
      <c r="D610" s="55"/>
      <c r="E610" s="57"/>
      <c r="F610" s="57"/>
    </row>
    <row r="611" ht="15" spans="1:6">
      <c r="A611" s="55"/>
      <c r="B611" s="55"/>
      <c r="C611" s="55"/>
      <c r="D611" s="55"/>
      <c r="E611" s="57"/>
      <c r="F611" s="57"/>
    </row>
    <row r="612" ht="15" spans="1:6">
      <c r="A612" s="55"/>
      <c r="B612" s="55"/>
      <c r="C612" s="55"/>
      <c r="D612" s="55"/>
      <c r="E612" s="57"/>
      <c r="F612" s="57"/>
    </row>
    <row r="613" ht="15" spans="1:6">
      <c r="A613" s="55"/>
      <c r="B613" s="55"/>
      <c r="C613" s="55"/>
      <c r="D613" s="55"/>
      <c r="E613" s="57"/>
      <c r="F613" s="57"/>
    </row>
    <row r="614" ht="15" spans="1:6">
      <c r="A614" s="55"/>
      <c r="B614" s="55"/>
      <c r="C614" s="55"/>
      <c r="D614" s="55"/>
      <c r="E614" s="57"/>
      <c r="F614" s="57"/>
    </row>
    <row r="615" ht="15" spans="1:6">
      <c r="A615" s="55"/>
      <c r="B615" s="55"/>
      <c r="C615" s="55"/>
      <c r="D615" s="55"/>
      <c r="E615" s="57"/>
      <c r="F615" s="57"/>
    </row>
    <row r="616" ht="15" spans="1:6">
      <c r="A616" s="55"/>
      <c r="B616" s="55"/>
      <c r="C616" s="55"/>
      <c r="D616" s="55"/>
      <c r="E616" s="57"/>
      <c r="F616" s="57"/>
    </row>
    <row r="617" ht="15" spans="1:6">
      <c r="A617" s="55"/>
      <c r="B617" s="55"/>
      <c r="C617" s="55"/>
      <c r="D617" s="55"/>
      <c r="E617" s="57"/>
      <c r="F617" s="57"/>
    </row>
    <row r="618" ht="15" spans="1:6">
      <c r="A618" s="55"/>
      <c r="B618" s="55"/>
      <c r="C618" s="55"/>
      <c r="D618" s="55"/>
      <c r="E618" s="57"/>
      <c r="F618" s="57"/>
    </row>
    <row r="619" ht="15" spans="1:6">
      <c r="A619" s="55"/>
      <c r="B619" s="55"/>
      <c r="C619" s="55"/>
      <c r="D619" s="55"/>
      <c r="E619" s="57"/>
      <c r="F619" s="57"/>
    </row>
    <row r="620" ht="15" spans="1:6">
      <c r="A620" s="55"/>
      <c r="B620" s="55"/>
      <c r="C620" s="55"/>
      <c r="D620" s="55"/>
      <c r="E620" s="57"/>
      <c r="F620" s="57"/>
    </row>
    <row r="621" ht="15" spans="1:6">
      <c r="A621" s="55"/>
      <c r="B621" s="55"/>
      <c r="C621" s="55"/>
      <c r="D621" s="55"/>
      <c r="E621" s="57"/>
      <c r="F621" s="57"/>
    </row>
    <row r="622" ht="15" spans="1:6">
      <c r="A622" s="55"/>
      <c r="B622" s="55"/>
      <c r="C622" s="55"/>
      <c r="D622" s="55"/>
      <c r="E622" s="57"/>
      <c r="F622" s="57"/>
    </row>
    <row r="623" ht="15" spans="1:6">
      <c r="A623" s="55"/>
      <c r="B623" s="55"/>
      <c r="C623" s="55"/>
      <c r="D623" s="55"/>
      <c r="E623" s="57"/>
      <c r="F623" s="57"/>
    </row>
    <row r="624" ht="15" spans="1:6">
      <c r="A624" s="55"/>
      <c r="B624" s="55"/>
      <c r="C624" s="55"/>
      <c r="D624" s="55"/>
      <c r="E624" s="57"/>
      <c r="F624" s="57"/>
    </row>
    <row r="625" ht="15" spans="1:6">
      <c r="A625" s="55"/>
      <c r="B625" s="55"/>
      <c r="C625" s="55"/>
      <c r="D625" s="55"/>
      <c r="E625" s="57"/>
      <c r="F625" s="57"/>
    </row>
    <row r="626" ht="15" spans="1:6">
      <c r="A626" s="55"/>
      <c r="B626" s="55"/>
      <c r="C626" s="55"/>
      <c r="D626" s="55"/>
      <c r="E626" s="57"/>
      <c r="F626" s="57"/>
    </row>
    <row r="627" ht="15" spans="1:6">
      <c r="A627" s="55"/>
      <c r="B627" s="55"/>
      <c r="C627" s="55"/>
      <c r="D627" s="55"/>
      <c r="E627" s="57"/>
      <c r="F627" s="57"/>
    </row>
    <row r="628" ht="15" spans="1:6">
      <c r="A628" s="55"/>
      <c r="B628" s="55"/>
      <c r="C628" s="55"/>
      <c r="D628" s="55"/>
      <c r="E628" s="57"/>
      <c r="F628" s="57"/>
    </row>
    <row r="629" ht="15" spans="1:6">
      <c r="A629" s="55"/>
      <c r="B629" s="55"/>
      <c r="C629" s="55"/>
      <c r="D629" s="55"/>
      <c r="E629" s="57"/>
      <c r="F629" s="57"/>
    </row>
    <row r="630" ht="15" spans="1:6">
      <c r="A630" s="55"/>
      <c r="B630" s="55"/>
      <c r="C630" s="55"/>
      <c r="D630" s="55"/>
      <c r="E630" s="57"/>
      <c r="F630" s="57"/>
    </row>
    <row r="631" ht="15" spans="1:6">
      <c r="A631" s="55"/>
      <c r="B631" s="55"/>
      <c r="C631" s="55"/>
      <c r="D631" s="55"/>
      <c r="E631" s="57"/>
      <c r="F631" s="57"/>
    </row>
    <row r="632" ht="15" spans="1:6">
      <c r="A632" s="55"/>
      <c r="B632" s="55"/>
      <c r="C632" s="55"/>
      <c r="D632" s="55"/>
      <c r="E632" s="57"/>
      <c r="F632" s="57"/>
    </row>
    <row r="633" ht="15" spans="1:6">
      <c r="A633" s="55"/>
      <c r="B633" s="55"/>
      <c r="C633" s="55"/>
      <c r="D633" s="55"/>
      <c r="E633" s="57"/>
      <c r="F633" s="57"/>
    </row>
    <row r="634" ht="15" spans="1:6">
      <c r="A634" s="55"/>
      <c r="B634" s="55"/>
      <c r="C634" s="55"/>
      <c r="D634" s="55"/>
      <c r="E634" s="57"/>
      <c r="F634" s="57"/>
    </row>
    <row r="635" ht="15" spans="1:6">
      <c r="A635" s="55"/>
      <c r="B635" s="55"/>
      <c r="C635" s="55"/>
      <c r="D635" s="55"/>
      <c r="E635" s="57"/>
      <c r="F635" s="57"/>
    </row>
    <row r="636" ht="15" spans="1:6">
      <c r="A636" s="55"/>
      <c r="B636" s="55"/>
      <c r="C636" s="55"/>
      <c r="D636" s="55"/>
      <c r="E636" s="57"/>
      <c r="F636" s="57"/>
    </row>
    <row r="637" ht="15" spans="1:6">
      <c r="A637" s="55"/>
      <c r="B637" s="55"/>
      <c r="C637" s="55"/>
      <c r="D637" s="55"/>
      <c r="E637" s="57"/>
      <c r="F637" s="57"/>
    </row>
    <row r="638" ht="15" spans="1:6">
      <c r="A638" s="55"/>
      <c r="B638" s="55"/>
      <c r="C638" s="55"/>
      <c r="D638" s="55"/>
      <c r="E638" s="57"/>
      <c r="F638" s="57"/>
    </row>
    <row r="639" ht="15" spans="1:6">
      <c r="A639" s="55"/>
      <c r="B639" s="55"/>
      <c r="C639" s="55"/>
      <c r="D639" s="55"/>
      <c r="E639" s="57"/>
      <c r="F639" s="57"/>
    </row>
    <row r="640" ht="15" spans="1:6">
      <c r="A640" s="55"/>
      <c r="B640" s="55"/>
      <c r="C640" s="55"/>
      <c r="D640" s="55"/>
      <c r="E640" s="57"/>
      <c r="F640" s="57"/>
    </row>
    <row r="641" ht="15" spans="1:6">
      <c r="A641" s="55"/>
      <c r="B641" s="55"/>
      <c r="C641" s="55"/>
      <c r="D641" s="55"/>
      <c r="E641" s="57"/>
      <c r="F641" s="57"/>
    </row>
    <row r="642" ht="15" spans="1:6">
      <c r="A642" s="55"/>
      <c r="B642" s="55"/>
      <c r="C642" s="55"/>
      <c r="D642" s="55"/>
      <c r="E642" s="57"/>
      <c r="F642" s="57"/>
    </row>
    <row r="643" ht="15" spans="1:6">
      <c r="A643" s="55"/>
      <c r="B643" s="55"/>
      <c r="C643" s="55"/>
      <c r="D643" s="55"/>
      <c r="E643" s="57"/>
      <c r="F643" s="57"/>
    </row>
    <row r="644" ht="15" spans="1:6">
      <c r="A644" s="55"/>
      <c r="B644" s="55"/>
      <c r="C644" s="55"/>
      <c r="D644" s="55"/>
      <c r="E644" s="57"/>
      <c r="F644" s="57"/>
    </row>
    <row r="645" ht="15" spans="1:6">
      <c r="A645" s="55"/>
      <c r="B645" s="55"/>
      <c r="C645" s="55"/>
      <c r="D645" s="55"/>
      <c r="E645" s="57"/>
      <c r="F645" s="57"/>
    </row>
    <row r="646" ht="15" spans="1:6">
      <c r="A646" s="55"/>
      <c r="B646" s="55"/>
      <c r="C646" s="55"/>
      <c r="D646" s="55"/>
      <c r="E646" s="57"/>
      <c r="F646" s="57"/>
    </row>
    <row r="647" ht="15" spans="1:6">
      <c r="A647" s="55"/>
      <c r="B647" s="55"/>
      <c r="C647" s="55"/>
      <c r="D647" s="55"/>
      <c r="E647" s="57"/>
      <c r="F647" s="57"/>
    </row>
    <row r="648" ht="15" spans="1:6">
      <c r="A648" s="55"/>
      <c r="B648" s="55"/>
      <c r="C648" s="55"/>
      <c r="D648" s="55"/>
      <c r="E648" s="57"/>
      <c r="F648" s="57"/>
    </row>
    <row r="649" ht="15" spans="1:6">
      <c r="A649" s="55"/>
      <c r="B649" s="55"/>
      <c r="C649" s="55"/>
      <c r="D649" s="55"/>
      <c r="E649" s="57"/>
      <c r="F649" s="57"/>
    </row>
    <row r="650" ht="15" spans="1:6">
      <c r="A650" s="55"/>
      <c r="B650" s="55"/>
      <c r="C650" s="55"/>
      <c r="D650" s="55"/>
      <c r="E650" s="57"/>
      <c r="F650" s="57"/>
    </row>
    <row r="651" ht="15" spans="1:6">
      <c r="A651" s="55"/>
      <c r="B651" s="55"/>
      <c r="C651" s="55"/>
      <c r="D651" s="55"/>
      <c r="E651" s="57"/>
      <c r="F651" s="57"/>
    </row>
    <row r="652" ht="15" spans="1:6">
      <c r="A652" s="55"/>
      <c r="B652" s="55"/>
      <c r="C652" s="55"/>
      <c r="D652" s="55"/>
      <c r="E652" s="57"/>
      <c r="F652" s="57"/>
    </row>
    <row r="653" ht="15" spans="1:6">
      <c r="A653" s="55"/>
      <c r="B653" s="55"/>
      <c r="C653" s="55"/>
      <c r="D653" s="55"/>
      <c r="E653" s="57"/>
      <c r="F653" s="57"/>
    </row>
    <row r="654" ht="15" spans="1:6">
      <c r="A654" s="55"/>
      <c r="B654" s="55"/>
      <c r="C654" s="55"/>
      <c r="D654" s="55"/>
      <c r="E654" s="57"/>
      <c r="F654" s="57"/>
    </row>
    <row r="655" ht="15" spans="1:6">
      <c r="A655" s="55"/>
      <c r="B655" s="55"/>
      <c r="C655" s="55"/>
      <c r="D655" s="55"/>
      <c r="E655" s="57"/>
      <c r="F655" s="57"/>
    </row>
    <row r="656" ht="15" spans="1:6">
      <c r="A656" s="55"/>
      <c r="B656" s="55"/>
      <c r="C656" s="55"/>
      <c r="D656" s="55"/>
      <c r="E656" s="57"/>
      <c r="F656" s="57"/>
    </row>
    <row r="657" ht="15" spans="1:6">
      <c r="A657" s="55"/>
      <c r="B657" s="55"/>
      <c r="C657" s="55"/>
      <c r="D657" s="55"/>
      <c r="E657" s="57"/>
      <c r="F657" s="57"/>
    </row>
    <row r="658" ht="15" spans="1:6">
      <c r="A658" s="55"/>
      <c r="B658" s="55"/>
      <c r="C658" s="55"/>
      <c r="D658" s="55"/>
      <c r="E658" s="57"/>
      <c r="F658" s="57"/>
    </row>
    <row r="659" ht="15" spans="1:6">
      <c r="A659" s="55"/>
      <c r="B659" s="55"/>
      <c r="C659" s="55"/>
      <c r="D659" s="55"/>
      <c r="E659" s="57"/>
      <c r="F659" s="57"/>
    </row>
    <row r="660" ht="15" spans="1:6">
      <c r="A660" s="55"/>
      <c r="B660" s="55"/>
      <c r="C660" s="55"/>
      <c r="D660" s="55"/>
      <c r="E660" s="57"/>
      <c r="F660" s="57"/>
    </row>
    <row r="661" ht="15" spans="1:6">
      <c r="A661" s="55"/>
      <c r="B661" s="55"/>
      <c r="C661" s="55"/>
      <c r="D661" s="55"/>
      <c r="E661" s="57"/>
      <c r="F661" s="57"/>
    </row>
    <row r="662" ht="15" spans="1:6">
      <c r="A662" s="55"/>
      <c r="B662" s="55"/>
      <c r="C662" s="55"/>
      <c r="D662" s="55"/>
      <c r="E662" s="57"/>
      <c r="F662" s="57"/>
    </row>
    <row r="663" ht="15" spans="1:6">
      <c r="A663" s="55"/>
      <c r="B663" s="55"/>
      <c r="C663" s="55"/>
      <c r="D663" s="55"/>
      <c r="E663" s="57"/>
      <c r="F663" s="57"/>
    </row>
    <row r="664" ht="15" spans="1:6">
      <c r="A664" s="55"/>
      <c r="B664" s="55"/>
      <c r="C664" s="55"/>
      <c r="D664" s="55"/>
      <c r="E664" s="57"/>
      <c r="F664" s="57"/>
    </row>
    <row r="665" ht="15" spans="1:6">
      <c r="A665" s="55"/>
      <c r="B665" s="55"/>
      <c r="C665" s="55"/>
      <c r="D665" s="55"/>
      <c r="E665" s="57"/>
      <c r="F665" s="57"/>
    </row>
    <row r="666" ht="15" spans="1:6">
      <c r="A666" s="55"/>
      <c r="B666" s="55"/>
      <c r="C666" s="55"/>
      <c r="D666" s="55"/>
      <c r="E666" s="57"/>
      <c r="F666" s="57"/>
    </row>
    <row r="667" ht="15" spans="1:6">
      <c r="A667" s="55"/>
      <c r="B667" s="55"/>
      <c r="C667" s="55"/>
      <c r="D667" s="55"/>
      <c r="E667" s="57"/>
      <c r="F667" s="57"/>
    </row>
    <row r="668" ht="15" spans="1:6">
      <c r="A668" s="55"/>
      <c r="B668" s="55"/>
      <c r="C668" s="55"/>
      <c r="D668" s="55"/>
      <c r="E668" s="57"/>
      <c r="F668" s="57"/>
    </row>
    <row r="669" ht="15" spans="1:6">
      <c r="A669" s="55"/>
      <c r="B669" s="55"/>
      <c r="C669" s="55"/>
      <c r="D669" s="55"/>
      <c r="E669" s="57"/>
      <c r="F669" s="57"/>
    </row>
    <row r="670" ht="15" spans="1:6">
      <c r="A670" s="55"/>
      <c r="B670" s="55"/>
      <c r="C670" s="55"/>
      <c r="D670" s="55"/>
      <c r="E670" s="57"/>
      <c r="F670" s="57"/>
    </row>
    <row r="671" ht="15" spans="1:6">
      <c r="A671" s="55"/>
      <c r="B671" s="55"/>
      <c r="C671" s="55"/>
      <c r="D671" s="55"/>
      <c r="E671" s="57"/>
      <c r="F671" s="57"/>
    </row>
    <row r="672" ht="15" spans="1:6">
      <c r="A672" s="55"/>
      <c r="B672" s="55"/>
      <c r="C672" s="55"/>
      <c r="D672" s="55"/>
      <c r="E672" s="57"/>
      <c r="F672" s="57"/>
    </row>
    <row r="673" ht="15" spans="1:6">
      <c r="A673" s="55"/>
      <c r="B673" s="55"/>
      <c r="C673" s="55"/>
      <c r="D673" s="55"/>
      <c r="E673" s="57"/>
      <c r="F673" s="57"/>
    </row>
    <row r="674" ht="15" spans="1:6">
      <c r="A674" s="55"/>
      <c r="B674" s="55"/>
      <c r="C674" s="55"/>
      <c r="D674" s="55"/>
      <c r="E674" s="57"/>
      <c r="F674" s="57"/>
    </row>
    <row r="675" ht="15" spans="1:6">
      <c r="A675" s="55"/>
      <c r="B675" s="55"/>
      <c r="C675" s="55"/>
      <c r="D675" s="55"/>
      <c r="E675" s="57"/>
      <c r="F675" s="57"/>
    </row>
    <row r="676" ht="15" spans="1:6">
      <c r="A676" s="55"/>
      <c r="B676" s="55"/>
      <c r="C676" s="55"/>
      <c r="D676" s="55"/>
      <c r="E676" s="57"/>
      <c r="F676" s="57"/>
    </row>
    <row r="677" ht="15" spans="1:6">
      <c r="A677" s="55"/>
      <c r="B677" s="55"/>
      <c r="C677" s="55"/>
      <c r="D677" s="55"/>
      <c r="E677" s="57"/>
      <c r="F677" s="57"/>
    </row>
    <row r="678" ht="15" spans="1:6">
      <c r="A678" s="55"/>
      <c r="B678" s="55"/>
      <c r="C678" s="55"/>
      <c r="D678" s="55"/>
      <c r="E678" s="57"/>
      <c r="F678" s="57"/>
    </row>
    <row r="679" ht="15" spans="1:6">
      <c r="A679" s="55"/>
      <c r="B679" s="55"/>
      <c r="C679" s="55"/>
      <c r="D679" s="55"/>
      <c r="E679" s="57"/>
      <c r="F679" s="57"/>
    </row>
    <row r="680" ht="15" spans="1:6">
      <c r="A680" s="55"/>
      <c r="B680" s="55"/>
      <c r="C680" s="55"/>
      <c r="D680" s="55"/>
      <c r="E680" s="57"/>
      <c r="F680" s="57"/>
    </row>
    <row r="681" ht="15" spans="1:6">
      <c r="A681" s="55"/>
      <c r="B681" s="55"/>
      <c r="C681" s="55"/>
      <c r="D681" s="55"/>
      <c r="E681" s="57"/>
      <c r="F681" s="57"/>
    </row>
    <row r="682" ht="15" spans="1:6">
      <c r="A682" s="55"/>
      <c r="B682" s="55"/>
      <c r="C682" s="55"/>
      <c r="D682" s="55"/>
      <c r="E682" s="57"/>
      <c r="F682" s="57"/>
    </row>
    <row r="683" ht="15" spans="1:6">
      <c r="A683" s="55"/>
      <c r="B683" s="55"/>
      <c r="C683" s="55"/>
      <c r="D683" s="55"/>
      <c r="E683" s="57"/>
      <c r="F683" s="57"/>
    </row>
    <row r="684" ht="15" spans="1:6">
      <c r="A684" s="55"/>
      <c r="B684" s="55"/>
      <c r="C684" s="55"/>
      <c r="D684" s="55"/>
      <c r="E684" s="57"/>
      <c r="F684" s="57"/>
    </row>
    <row r="685" ht="15" spans="1:6">
      <c r="A685" s="55"/>
      <c r="B685" s="55"/>
      <c r="C685" s="55"/>
      <c r="D685" s="55"/>
      <c r="E685" s="57"/>
      <c r="F685" s="57"/>
    </row>
    <row r="686" ht="15" spans="1:6">
      <c r="A686" s="55"/>
      <c r="B686" s="55"/>
      <c r="C686" s="55"/>
      <c r="D686" s="55"/>
      <c r="E686" s="57"/>
      <c r="F686" s="57"/>
    </row>
    <row r="687" ht="15" spans="1:6">
      <c r="A687" s="55"/>
      <c r="B687" s="55"/>
      <c r="C687" s="55"/>
      <c r="D687" s="55"/>
      <c r="E687" s="57"/>
      <c r="F687" s="57"/>
    </row>
    <row r="688" ht="15" spans="1:6">
      <c r="A688" s="55"/>
      <c r="B688" s="55"/>
      <c r="C688" s="55"/>
      <c r="D688" s="55"/>
      <c r="E688" s="57"/>
      <c r="F688" s="57"/>
    </row>
    <row r="689" ht="15" spans="1:6">
      <c r="A689" s="55"/>
      <c r="B689" s="55"/>
      <c r="C689" s="55"/>
      <c r="D689" s="55"/>
      <c r="E689" s="57"/>
      <c r="F689" s="57"/>
    </row>
    <row r="690" ht="15" spans="1:6">
      <c r="A690" s="55"/>
      <c r="B690" s="55"/>
      <c r="C690" s="55"/>
      <c r="D690" s="55"/>
      <c r="E690" s="57"/>
      <c r="F690" s="57"/>
    </row>
    <row r="691" ht="15" spans="1:6">
      <c r="A691" s="55"/>
      <c r="B691" s="55"/>
      <c r="C691" s="55"/>
      <c r="D691" s="55"/>
      <c r="E691" s="57"/>
      <c r="F691" s="57"/>
    </row>
    <row r="692" ht="15" spans="1:6">
      <c r="A692" s="55"/>
      <c r="B692" s="55"/>
      <c r="C692" s="55"/>
      <c r="D692" s="55"/>
      <c r="E692" s="57"/>
      <c r="F692" s="57"/>
    </row>
    <row r="693" ht="15" spans="1:6">
      <c r="A693" s="55"/>
      <c r="B693" s="55"/>
      <c r="C693" s="55"/>
      <c r="D693" s="55"/>
      <c r="E693" s="57"/>
      <c r="F693" s="57"/>
    </row>
    <row r="694" ht="15" spans="1:6">
      <c r="A694" s="55"/>
      <c r="B694" s="55"/>
      <c r="C694" s="55"/>
      <c r="D694" s="55"/>
      <c r="E694" s="57"/>
      <c r="F694" s="57"/>
    </row>
    <row r="695" ht="15" spans="1:6">
      <c r="A695" s="55"/>
      <c r="B695" s="55"/>
      <c r="C695" s="55"/>
      <c r="D695" s="55"/>
      <c r="E695" s="57"/>
      <c r="F695" s="57"/>
    </row>
    <row r="696" ht="15" spans="1:6">
      <c r="A696" s="55"/>
      <c r="B696" s="55"/>
      <c r="C696" s="55"/>
      <c r="D696" s="55"/>
      <c r="E696" s="57"/>
      <c r="F696" s="57"/>
    </row>
    <row r="697" ht="15" spans="1:6">
      <c r="A697" s="55"/>
      <c r="B697" s="55"/>
      <c r="C697" s="55"/>
      <c r="D697" s="55"/>
      <c r="E697" s="57"/>
      <c r="F697" s="57"/>
    </row>
    <row r="698" ht="15" spans="1:6">
      <c r="A698" s="55"/>
      <c r="B698" s="55"/>
      <c r="C698" s="55"/>
      <c r="D698" s="55"/>
      <c r="E698" s="57"/>
      <c r="F698" s="57"/>
    </row>
    <row r="699" ht="15" spans="1:6">
      <c r="A699" s="55"/>
      <c r="B699" s="55"/>
      <c r="C699" s="55"/>
      <c r="D699" s="55"/>
      <c r="E699" s="57"/>
      <c r="F699" s="57"/>
    </row>
    <row r="700" ht="15" spans="1:6">
      <c r="A700" s="55"/>
      <c r="B700" s="55"/>
      <c r="C700" s="55"/>
      <c r="D700" s="55"/>
      <c r="E700" s="57"/>
      <c r="F700" s="57"/>
    </row>
    <row r="701" ht="15" spans="1:6">
      <c r="A701" s="55"/>
      <c r="B701" s="55"/>
      <c r="C701" s="55"/>
      <c r="D701" s="55"/>
      <c r="E701" s="57"/>
      <c r="F701" s="57"/>
    </row>
    <row r="702" ht="15" spans="1:6">
      <c r="A702" s="55"/>
      <c r="B702" s="55"/>
      <c r="C702" s="55"/>
      <c r="D702" s="55"/>
      <c r="E702" s="57"/>
      <c r="F702" s="57"/>
    </row>
    <row r="703" ht="15" spans="1:6">
      <c r="A703" s="55"/>
      <c r="B703" s="55"/>
      <c r="C703" s="55"/>
      <c r="D703" s="55"/>
      <c r="E703" s="57"/>
      <c r="F703" s="57"/>
    </row>
    <row r="704" ht="15" spans="1:6">
      <c r="A704" s="55"/>
      <c r="B704" s="55"/>
      <c r="C704" s="55"/>
      <c r="D704" s="55"/>
      <c r="E704" s="57"/>
      <c r="F704" s="57"/>
    </row>
    <row r="705" ht="15" spans="1:6">
      <c r="A705" s="55"/>
      <c r="B705" s="55"/>
      <c r="C705" s="55"/>
      <c r="D705" s="55"/>
      <c r="E705" s="57"/>
      <c r="F705" s="57"/>
    </row>
    <row r="706" ht="15" spans="1:6">
      <c r="A706" s="55"/>
      <c r="B706" s="55"/>
      <c r="C706" s="55"/>
      <c r="D706" s="55"/>
      <c r="E706" s="57"/>
      <c r="F706" s="57"/>
    </row>
    <row r="707" ht="15" spans="1:6">
      <c r="A707" s="55"/>
      <c r="B707" s="55"/>
      <c r="C707" s="55"/>
      <c r="D707" s="55"/>
      <c r="E707" s="57"/>
      <c r="F707" s="57"/>
    </row>
    <row r="708" ht="15" spans="1:6">
      <c r="A708" s="55"/>
      <c r="B708" s="55"/>
      <c r="C708" s="55"/>
      <c r="D708" s="55"/>
      <c r="E708" s="57"/>
      <c r="F708" s="57"/>
    </row>
    <row r="709" ht="15" spans="1:6">
      <c r="A709" s="55"/>
      <c r="B709" s="55"/>
      <c r="C709" s="55"/>
      <c r="D709" s="55"/>
      <c r="E709" s="57"/>
      <c r="F709" s="57"/>
    </row>
    <row r="710" ht="15" spans="1:6">
      <c r="A710" s="55"/>
      <c r="B710" s="55"/>
      <c r="C710" s="55"/>
      <c r="D710" s="55"/>
      <c r="E710" s="57"/>
      <c r="F710" s="57"/>
    </row>
    <row r="711" ht="15" spans="1:6">
      <c r="A711" s="55"/>
      <c r="B711" s="55"/>
      <c r="C711" s="55"/>
      <c r="D711" s="55"/>
      <c r="E711" s="57"/>
      <c r="F711" s="57"/>
    </row>
    <row r="712" ht="15" spans="1:6">
      <c r="A712" s="55"/>
      <c r="B712" s="55"/>
      <c r="C712" s="55"/>
      <c r="D712" s="55"/>
      <c r="E712" s="57"/>
      <c r="F712" s="57"/>
    </row>
    <row r="713" ht="15" spans="1:6">
      <c r="A713" s="55"/>
      <c r="B713" s="55"/>
      <c r="C713" s="55"/>
      <c r="D713" s="55"/>
      <c r="E713" s="57"/>
      <c r="F713" s="57"/>
    </row>
    <row r="714" ht="15" spans="1:6">
      <c r="A714" s="55"/>
      <c r="B714" s="55"/>
      <c r="C714" s="55"/>
      <c r="D714" s="55"/>
      <c r="E714" s="57"/>
      <c r="F714" s="57"/>
    </row>
    <row r="715" ht="15" spans="1:6">
      <c r="A715" s="55"/>
      <c r="B715" s="55"/>
      <c r="C715" s="55"/>
      <c r="D715" s="55"/>
      <c r="E715" s="57"/>
      <c r="F715" s="57"/>
    </row>
    <row r="716" ht="15" spans="1:6">
      <c r="A716" s="55"/>
      <c r="B716" s="55"/>
      <c r="C716" s="55"/>
      <c r="D716" s="55"/>
      <c r="E716" s="57"/>
      <c r="F716" s="57"/>
    </row>
    <row r="717" ht="15" spans="1:6">
      <c r="A717" s="55"/>
      <c r="B717" s="55"/>
      <c r="C717" s="55"/>
      <c r="D717" s="55"/>
      <c r="E717" s="57"/>
      <c r="F717" s="57"/>
    </row>
    <row r="718" ht="15" spans="1:6">
      <c r="A718" s="55"/>
      <c r="B718" s="55"/>
      <c r="C718" s="55"/>
      <c r="D718" s="55"/>
      <c r="E718" s="57"/>
      <c r="F718" s="57"/>
    </row>
    <row r="719" ht="15" spans="1:6">
      <c r="A719" s="55"/>
      <c r="B719" s="55"/>
      <c r="C719" s="55"/>
      <c r="D719" s="55"/>
      <c r="E719" s="57"/>
      <c r="F719" s="57"/>
    </row>
    <row r="720" ht="15" spans="1:6">
      <c r="A720" s="55"/>
      <c r="B720" s="55"/>
      <c r="C720" s="55"/>
      <c r="D720" s="55"/>
      <c r="E720" s="57"/>
      <c r="F720" s="57"/>
    </row>
    <row r="721" ht="15" spans="1:6">
      <c r="A721" s="55"/>
      <c r="B721" s="55"/>
      <c r="C721" s="55"/>
      <c r="D721" s="55"/>
      <c r="E721" s="57"/>
      <c r="F721" s="57"/>
    </row>
    <row r="722" ht="15" spans="1:6">
      <c r="A722" s="55"/>
      <c r="B722" s="55"/>
      <c r="C722" s="55"/>
      <c r="D722" s="55"/>
      <c r="E722" s="57"/>
      <c r="F722" s="57"/>
    </row>
    <row r="723" ht="15" spans="1:6">
      <c r="A723" s="55"/>
      <c r="B723" s="55"/>
      <c r="C723" s="55"/>
      <c r="D723" s="55"/>
      <c r="E723" s="57"/>
      <c r="F723" s="57"/>
    </row>
    <row r="724" ht="15" spans="1:6">
      <c r="A724" s="55"/>
      <c r="B724" s="55"/>
      <c r="C724" s="55"/>
      <c r="D724" s="55"/>
      <c r="E724" s="57"/>
      <c r="F724" s="57"/>
    </row>
    <row r="725" ht="15" spans="1:6">
      <c r="A725" s="55"/>
      <c r="B725" s="55"/>
      <c r="C725" s="55"/>
      <c r="D725" s="55"/>
      <c r="E725" s="57"/>
      <c r="F725" s="57"/>
    </row>
    <row r="726" ht="15" spans="1:6">
      <c r="A726" s="55"/>
      <c r="B726" s="55"/>
      <c r="C726" s="55"/>
      <c r="D726" s="55"/>
      <c r="E726" s="57"/>
      <c r="F726" s="57"/>
    </row>
    <row r="727" ht="15" spans="1:6">
      <c r="A727" s="55"/>
      <c r="B727" s="55"/>
      <c r="C727" s="55"/>
      <c r="D727" s="55"/>
      <c r="E727" s="57"/>
      <c r="F727" s="57"/>
    </row>
    <row r="728" ht="15" spans="1:6">
      <c r="A728" s="55"/>
      <c r="B728" s="55"/>
      <c r="C728" s="55"/>
      <c r="D728" s="55"/>
      <c r="E728" s="57"/>
      <c r="F728" s="57"/>
    </row>
    <row r="729" ht="15" spans="1:6">
      <c r="A729" s="55"/>
      <c r="B729" s="55"/>
      <c r="C729" s="55"/>
      <c r="D729" s="55"/>
      <c r="E729" s="57"/>
      <c r="F729" s="57"/>
    </row>
    <row r="730" ht="15" spans="1:6">
      <c r="A730" s="55"/>
      <c r="B730" s="55"/>
      <c r="C730" s="55"/>
      <c r="D730" s="55"/>
      <c r="E730" s="57"/>
      <c r="F730" s="57"/>
    </row>
    <row r="731" ht="15" spans="1:6">
      <c r="A731" s="55"/>
      <c r="B731" s="55"/>
      <c r="C731" s="55"/>
      <c r="D731" s="55"/>
      <c r="E731" s="57"/>
      <c r="F731" s="57"/>
    </row>
    <row r="732" ht="15" spans="1:6">
      <c r="A732" s="55"/>
      <c r="B732" s="55"/>
      <c r="C732" s="55"/>
      <c r="D732" s="55"/>
      <c r="E732" s="57"/>
      <c r="F732" s="57"/>
    </row>
    <row r="733" ht="15" spans="1:6">
      <c r="A733" s="55"/>
      <c r="B733" s="55"/>
      <c r="C733" s="55"/>
      <c r="D733" s="55"/>
      <c r="E733" s="57"/>
      <c r="F733" s="57"/>
    </row>
    <row r="734" ht="15" spans="1:6">
      <c r="A734" s="55"/>
      <c r="B734" s="55"/>
      <c r="C734" s="55"/>
      <c r="D734" s="55"/>
      <c r="E734" s="57"/>
      <c r="F734" s="57"/>
    </row>
    <row r="735" ht="15" spans="1:6">
      <c r="A735" s="55"/>
      <c r="B735" s="55"/>
      <c r="C735" s="55"/>
      <c r="D735" s="55"/>
      <c r="E735" s="57"/>
      <c r="F735" s="57"/>
    </row>
    <row r="736" ht="15" spans="1:6">
      <c r="A736" s="55"/>
      <c r="B736" s="55"/>
      <c r="C736" s="55"/>
      <c r="D736" s="55"/>
      <c r="E736" s="57"/>
      <c r="F736" s="57"/>
    </row>
    <row r="737" ht="15" spans="1:6">
      <c r="A737" s="55"/>
      <c r="B737" s="55"/>
      <c r="C737" s="55"/>
      <c r="D737" s="55"/>
      <c r="E737" s="57"/>
      <c r="F737" s="57"/>
    </row>
    <row r="738" ht="15" spans="1:6">
      <c r="A738" s="55"/>
      <c r="B738" s="55"/>
      <c r="C738" s="55"/>
      <c r="D738" s="55"/>
      <c r="E738" s="57"/>
      <c r="F738" s="57"/>
    </row>
    <row r="739" ht="15" spans="1:6">
      <c r="A739" s="55"/>
      <c r="B739" s="55"/>
      <c r="C739" s="55"/>
      <c r="D739" s="55"/>
      <c r="E739" s="57"/>
      <c r="F739" s="57"/>
    </row>
    <row r="740" ht="15" spans="1:6">
      <c r="A740" s="55"/>
      <c r="B740" s="55"/>
      <c r="C740" s="55"/>
      <c r="D740" s="55"/>
      <c r="E740" s="57"/>
      <c r="F740" s="57"/>
    </row>
    <row r="741" ht="15" spans="1:6">
      <c r="A741" s="55"/>
      <c r="B741" s="55"/>
      <c r="C741" s="55"/>
      <c r="D741" s="55"/>
      <c r="E741" s="57"/>
      <c r="F741" s="57"/>
    </row>
    <row r="742" ht="15" spans="1:6">
      <c r="A742" s="55"/>
      <c r="B742" s="55"/>
      <c r="C742" s="55"/>
      <c r="D742" s="55"/>
      <c r="E742" s="57"/>
      <c r="F742" s="57"/>
    </row>
    <row r="743" ht="15" spans="1:6">
      <c r="A743" s="55"/>
      <c r="B743" s="55"/>
      <c r="C743" s="55"/>
      <c r="D743" s="55"/>
      <c r="E743" s="57"/>
      <c r="F743" s="57"/>
    </row>
    <row r="744" ht="15" spans="1:6">
      <c r="A744" s="55"/>
      <c r="B744" s="55"/>
      <c r="C744" s="55"/>
      <c r="D744" s="55"/>
      <c r="E744" s="57"/>
      <c r="F744" s="57"/>
    </row>
    <row r="745" ht="15" spans="1:6">
      <c r="A745" s="55"/>
      <c r="B745" s="55"/>
      <c r="C745" s="55"/>
      <c r="D745" s="55"/>
      <c r="E745" s="57"/>
      <c r="F745" s="57"/>
    </row>
    <row r="746" ht="15" spans="1:6">
      <c r="A746" s="55"/>
      <c r="B746" s="55"/>
      <c r="C746" s="55"/>
      <c r="D746" s="55"/>
      <c r="E746" s="57"/>
      <c r="F746" s="57"/>
    </row>
    <row r="747" ht="15" spans="1:6">
      <c r="A747" s="55"/>
      <c r="B747" s="55"/>
      <c r="C747" s="55"/>
      <c r="D747" s="55"/>
      <c r="E747" s="57"/>
      <c r="F747" s="57"/>
    </row>
    <row r="748" ht="15" spans="1:6">
      <c r="A748" s="55"/>
      <c r="B748" s="55"/>
      <c r="C748" s="55"/>
      <c r="D748" s="55"/>
      <c r="E748" s="57"/>
      <c r="F748" s="57"/>
    </row>
    <row r="749" ht="15" spans="1:6">
      <c r="A749" s="55"/>
      <c r="B749" s="55"/>
      <c r="C749" s="55"/>
      <c r="D749" s="55"/>
      <c r="E749" s="57"/>
      <c r="F749" s="57"/>
    </row>
    <row r="750" ht="15" spans="1:6">
      <c r="A750" s="55"/>
      <c r="B750" s="55"/>
      <c r="C750" s="55"/>
      <c r="D750" s="55"/>
      <c r="E750" s="57"/>
      <c r="F750" s="57"/>
    </row>
    <row r="751" ht="15" spans="1:6">
      <c r="A751" s="55"/>
      <c r="B751" s="55"/>
      <c r="C751" s="55"/>
      <c r="D751" s="55"/>
      <c r="E751" s="57"/>
      <c r="F751" s="57"/>
    </row>
    <row r="752" ht="15" spans="1:6">
      <c r="A752" s="55"/>
      <c r="B752" s="55"/>
      <c r="C752" s="55"/>
      <c r="D752" s="55"/>
      <c r="E752" s="57"/>
      <c r="F752" s="57"/>
    </row>
    <row r="753" ht="15" spans="1:6">
      <c r="A753" s="55"/>
      <c r="B753" s="55"/>
      <c r="C753" s="55"/>
      <c r="D753" s="55"/>
      <c r="E753" s="57"/>
      <c r="F753" s="57"/>
    </row>
    <row r="754" ht="15" spans="1:6">
      <c r="A754" s="55"/>
      <c r="B754" s="55"/>
      <c r="C754" s="55"/>
      <c r="D754" s="55"/>
      <c r="E754" s="57"/>
      <c r="F754" s="57"/>
    </row>
    <row r="755" ht="15" spans="1:6">
      <c r="A755" s="55"/>
      <c r="B755" s="55"/>
      <c r="C755" s="55"/>
      <c r="D755" s="55"/>
      <c r="E755" s="57"/>
      <c r="F755" s="57"/>
    </row>
    <row r="756" ht="15" spans="1:6">
      <c r="A756" s="55"/>
      <c r="B756" s="55"/>
      <c r="C756" s="55"/>
      <c r="D756" s="55"/>
      <c r="E756" s="57"/>
      <c r="F756" s="57"/>
    </row>
    <row r="757" ht="15" spans="1:6">
      <c r="A757" s="55"/>
      <c r="B757" s="55"/>
      <c r="C757" s="55"/>
      <c r="D757" s="55"/>
      <c r="E757" s="57"/>
      <c r="F757" s="57"/>
    </row>
    <row r="758" ht="15" spans="1:6">
      <c r="A758" s="55"/>
      <c r="B758" s="55"/>
      <c r="C758" s="55"/>
      <c r="D758" s="55"/>
      <c r="E758" s="57"/>
      <c r="F758" s="57"/>
    </row>
    <row r="759" ht="15" spans="1:6">
      <c r="A759" s="55"/>
      <c r="B759" s="55"/>
      <c r="C759" s="55"/>
      <c r="D759" s="55"/>
      <c r="E759" s="57"/>
      <c r="F759" s="57"/>
    </row>
    <row r="760" ht="15" spans="1:6">
      <c r="A760" s="55"/>
      <c r="B760" s="55"/>
      <c r="C760" s="55"/>
      <c r="D760" s="55"/>
      <c r="E760" s="57"/>
      <c r="F760" s="57"/>
    </row>
    <row r="761" ht="15" spans="1:6">
      <c r="A761" s="55"/>
      <c r="B761" s="55"/>
      <c r="C761" s="55"/>
      <c r="D761" s="55"/>
      <c r="E761" s="57"/>
      <c r="F761" s="57"/>
    </row>
    <row r="762" ht="15" spans="1:6">
      <c r="A762" s="55"/>
      <c r="B762" s="55"/>
      <c r="C762" s="55"/>
      <c r="D762" s="55"/>
      <c r="E762" s="57"/>
      <c r="F762" s="57"/>
    </row>
    <row r="763" ht="15" spans="1:6">
      <c r="A763" s="55"/>
      <c r="B763" s="55"/>
      <c r="C763" s="55"/>
      <c r="D763" s="55"/>
      <c r="E763" s="57"/>
      <c r="F763" s="57"/>
    </row>
    <row r="764" ht="15" spans="1:6">
      <c r="A764" s="55"/>
      <c r="B764" s="55"/>
      <c r="C764" s="55"/>
      <c r="D764" s="55"/>
      <c r="E764" s="57"/>
      <c r="F764" s="57"/>
    </row>
    <row r="765" ht="15" spans="1:6">
      <c r="A765" s="55"/>
      <c r="B765" s="55"/>
      <c r="C765" s="55"/>
      <c r="D765" s="55"/>
      <c r="E765" s="57"/>
      <c r="F765" s="57"/>
    </row>
    <row r="766" ht="15" spans="1:6">
      <c r="A766" s="55"/>
      <c r="B766" s="55"/>
      <c r="C766" s="55"/>
      <c r="D766" s="55"/>
      <c r="E766" s="57"/>
      <c r="F766" s="57"/>
    </row>
    <row r="767" ht="15" spans="1:6">
      <c r="A767" s="55"/>
      <c r="B767" s="55"/>
      <c r="C767" s="55"/>
      <c r="D767" s="55"/>
      <c r="E767" s="57"/>
      <c r="F767" s="57"/>
    </row>
    <row r="768" ht="15" spans="1:6">
      <c r="A768" s="55"/>
      <c r="B768" s="55"/>
      <c r="C768" s="55"/>
      <c r="D768" s="55"/>
      <c r="E768" s="57"/>
      <c r="F768" s="57"/>
    </row>
    <row r="769" ht="15" spans="1:6">
      <c r="A769" s="55"/>
      <c r="B769" s="55"/>
      <c r="C769" s="55"/>
      <c r="D769" s="55"/>
      <c r="E769" s="57"/>
      <c r="F769" s="57"/>
    </row>
    <row r="770" ht="15" spans="1:6">
      <c r="A770" s="55"/>
      <c r="B770" s="55"/>
      <c r="C770" s="55"/>
      <c r="D770" s="55"/>
      <c r="E770" s="57"/>
      <c r="F770" s="57"/>
    </row>
    <row r="771" ht="15" spans="1:6">
      <c r="A771" s="55"/>
      <c r="B771" s="55"/>
      <c r="C771" s="55"/>
      <c r="D771" s="55"/>
      <c r="E771" s="57"/>
      <c r="F771" s="57"/>
    </row>
    <row r="772" ht="15" spans="1:6">
      <c r="A772" s="55"/>
      <c r="B772" s="55"/>
      <c r="C772" s="55"/>
      <c r="D772" s="55"/>
      <c r="E772" s="57"/>
      <c r="F772" s="57"/>
    </row>
    <row r="773" ht="15" spans="1:6">
      <c r="A773" s="55"/>
      <c r="B773" s="55"/>
      <c r="C773" s="55"/>
      <c r="D773" s="55"/>
      <c r="E773" s="57"/>
      <c r="F773" s="57"/>
    </row>
    <row r="774" ht="15" spans="1:6">
      <c r="A774" s="55"/>
      <c r="B774" s="55"/>
      <c r="C774" s="55"/>
      <c r="D774" s="55"/>
      <c r="E774" s="57"/>
      <c r="F774" s="57"/>
    </row>
    <row r="775" ht="15" spans="1:6">
      <c r="A775" s="55"/>
      <c r="B775" s="55"/>
      <c r="C775" s="55"/>
      <c r="D775" s="55"/>
      <c r="E775" s="57"/>
      <c r="F775" s="57"/>
    </row>
    <row r="776" ht="15" spans="1:6">
      <c r="A776" s="55"/>
      <c r="B776" s="55"/>
      <c r="C776" s="55"/>
      <c r="D776" s="55"/>
      <c r="E776" s="57"/>
      <c r="F776" s="57"/>
    </row>
    <row r="777" ht="15" spans="1:6">
      <c r="A777" s="55"/>
      <c r="B777" s="55"/>
      <c r="C777" s="55"/>
      <c r="D777" s="55"/>
      <c r="E777" s="57"/>
      <c r="F777" s="57"/>
    </row>
    <row r="778" ht="15" spans="1:6">
      <c r="A778" s="55"/>
      <c r="B778" s="55"/>
      <c r="C778" s="55"/>
      <c r="D778" s="55"/>
      <c r="E778" s="57"/>
      <c r="F778" s="57"/>
    </row>
    <row r="779" ht="15" spans="1:6">
      <c r="A779" s="55"/>
      <c r="B779" s="55"/>
      <c r="C779" s="55"/>
      <c r="D779" s="55"/>
      <c r="E779" s="57"/>
      <c r="F779" s="57"/>
    </row>
    <row r="780" ht="15" spans="1:6">
      <c r="A780" s="55"/>
      <c r="B780" s="55"/>
      <c r="C780" s="55"/>
      <c r="D780" s="55"/>
      <c r="E780" s="57"/>
      <c r="F780" s="57"/>
    </row>
    <row r="781" ht="15" spans="1:6">
      <c r="A781" s="55"/>
      <c r="B781" s="55"/>
      <c r="C781" s="55"/>
      <c r="D781" s="55"/>
      <c r="E781" s="57"/>
      <c r="F781" s="57"/>
    </row>
    <row r="782" ht="15" spans="1:6">
      <c r="A782" s="55"/>
      <c r="B782" s="55"/>
      <c r="C782" s="55"/>
      <c r="D782" s="55"/>
      <c r="E782" s="57"/>
      <c r="F782" s="57"/>
    </row>
    <row r="783" ht="15" spans="1:6">
      <c r="A783" s="55"/>
      <c r="B783" s="55"/>
      <c r="C783" s="55"/>
      <c r="D783" s="55"/>
      <c r="E783" s="57"/>
      <c r="F783" s="57"/>
    </row>
    <row r="784" ht="15" spans="1:6">
      <c r="A784" s="55"/>
      <c r="B784" s="55"/>
      <c r="C784" s="55"/>
      <c r="D784" s="55"/>
      <c r="E784" s="57"/>
      <c r="F784" s="57"/>
    </row>
    <row r="785" ht="15" spans="1:6">
      <c r="A785" s="55"/>
      <c r="B785" s="55"/>
      <c r="C785" s="55"/>
      <c r="D785" s="55"/>
      <c r="E785" s="57"/>
      <c r="F785" s="57"/>
    </row>
    <row r="786" ht="15" spans="1:6">
      <c r="A786" s="55"/>
      <c r="B786" s="55"/>
      <c r="C786" s="55"/>
      <c r="D786" s="55"/>
      <c r="E786" s="57"/>
      <c r="F786" s="57"/>
    </row>
    <row r="787" ht="15" spans="1:6">
      <c r="A787" s="55"/>
      <c r="B787" s="55"/>
      <c r="C787" s="55"/>
      <c r="D787" s="55"/>
      <c r="E787" s="57"/>
      <c r="F787" s="57"/>
    </row>
    <row r="788" ht="15" spans="1:6">
      <c r="A788" s="55"/>
      <c r="B788" s="55"/>
      <c r="C788" s="55"/>
      <c r="D788" s="55"/>
      <c r="E788" s="57"/>
      <c r="F788" s="57"/>
    </row>
    <row r="789" ht="15" spans="1:6">
      <c r="A789" s="55"/>
      <c r="B789" s="55"/>
      <c r="C789" s="55"/>
      <c r="D789" s="55"/>
      <c r="E789" s="57"/>
      <c r="F789" s="57"/>
    </row>
    <row r="790" ht="15" spans="1:6">
      <c r="A790" s="55"/>
      <c r="B790" s="55"/>
      <c r="C790" s="55"/>
      <c r="D790" s="55"/>
      <c r="E790" s="57"/>
      <c r="F790" s="57"/>
    </row>
    <row r="791" ht="15" spans="1:6">
      <c r="A791" s="55"/>
      <c r="B791" s="55"/>
      <c r="C791" s="55"/>
      <c r="D791" s="55"/>
      <c r="E791" s="57"/>
      <c r="F791" s="57"/>
    </row>
    <row r="792" ht="15" spans="1:6">
      <c r="A792" s="55"/>
      <c r="B792" s="55"/>
      <c r="C792" s="55"/>
      <c r="D792" s="55"/>
      <c r="E792" s="57"/>
      <c r="F792" s="57"/>
    </row>
    <row r="793" ht="15" spans="1:6">
      <c r="A793" s="55"/>
      <c r="B793" s="55"/>
      <c r="C793" s="55"/>
      <c r="D793" s="55"/>
      <c r="E793" s="57"/>
      <c r="F793" s="57"/>
    </row>
    <row r="794" ht="15" spans="1:6">
      <c r="A794" s="55"/>
      <c r="B794" s="55"/>
      <c r="C794" s="55"/>
      <c r="D794" s="55"/>
      <c r="E794" s="57"/>
      <c r="F794" s="57"/>
    </row>
    <row r="795" ht="15" spans="1:6">
      <c r="A795" s="55"/>
      <c r="B795" s="55"/>
      <c r="C795" s="55"/>
      <c r="D795" s="55"/>
      <c r="E795" s="57"/>
      <c r="F795" s="57"/>
    </row>
    <row r="796" ht="15" spans="1:6">
      <c r="A796" s="55"/>
      <c r="B796" s="55"/>
      <c r="C796" s="55"/>
      <c r="D796" s="55"/>
      <c r="E796" s="57"/>
      <c r="F796" s="57"/>
    </row>
    <row r="797" ht="15" spans="1:6">
      <c r="A797" s="55"/>
      <c r="B797" s="55"/>
      <c r="C797" s="55"/>
      <c r="D797" s="55"/>
      <c r="E797" s="57"/>
      <c r="F797" s="57"/>
    </row>
    <row r="798" ht="15" spans="1:6">
      <c r="A798" s="55"/>
      <c r="B798" s="55"/>
      <c r="C798" s="55"/>
      <c r="D798" s="55"/>
      <c r="E798" s="57"/>
      <c r="F798" s="57"/>
    </row>
    <row r="799" ht="15" spans="1:6">
      <c r="A799" s="55"/>
      <c r="B799" s="55"/>
      <c r="C799" s="55"/>
      <c r="D799" s="55"/>
      <c r="E799" s="57"/>
      <c r="F799" s="57"/>
    </row>
    <row r="800" ht="15" spans="1:6">
      <c r="A800" s="55"/>
      <c r="B800" s="55"/>
      <c r="C800" s="55"/>
      <c r="D800" s="55"/>
      <c r="E800" s="57"/>
      <c r="F800" s="57"/>
    </row>
    <row r="801" ht="15" spans="1:6">
      <c r="A801" s="55"/>
      <c r="B801" s="55"/>
      <c r="C801" s="55"/>
      <c r="D801" s="55"/>
      <c r="E801" s="57"/>
      <c r="F801" s="57"/>
    </row>
    <row r="802" ht="15" spans="1:6">
      <c r="A802" s="55"/>
      <c r="B802" s="55"/>
      <c r="C802" s="55"/>
      <c r="D802" s="55"/>
      <c r="E802" s="57"/>
      <c r="F802" s="57"/>
    </row>
    <row r="803" ht="15" spans="1:6">
      <c r="A803" s="55"/>
      <c r="B803" s="55"/>
      <c r="C803" s="55"/>
      <c r="D803" s="55"/>
      <c r="E803" s="57"/>
      <c r="F803" s="57"/>
    </row>
    <row r="804" ht="15" spans="1:6">
      <c r="A804" s="55"/>
      <c r="B804" s="55"/>
      <c r="C804" s="55"/>
      <c r="D804" s="55"/>
      <c r="E804" s="57"/>
      <c r="F804" s="57"/>
    </row>
    <row r="805" ht="15" spans="1:6">
      <c r="A805" s="55"/>
      <c r="B805" s="55"/>
      <c r="C805" s="55"/>
      <c r="D805" s="55"/>
      <c r="E805" s="57"/>
      <c r="F805" s="57"/>
    </row>
    <row r="806" ht="15" spans="1:6">
      <c r="A806" s="55"/>
      <c r="B806" s="55"/>
      <c r="C806" s="55"/>
      <c r="D806" s="55"/>
      <c r="E806" s="57"/>
      <c r="F806" s="57"/>
    </row>
    <row r="807" ht="15" spans="1:6">
      <c r="A807" s="55"/>
      <c r="B807" s="55"/>
      <c r="C807" s="55"/>
      <c r="D807" s="55"/>
      <c r="E807" s="57"/>
      <c r="F807" s="57"/>
    </row>
    <row r="808" ht="15" spans="1:6">
      <c r="A808" s="55"/>
      <c r="B808" s="55"/>
      <c r="C808" s="55"/>
      <c r="D808" s="55"/>
      <c r="E808" s="57"/>
      <c r="F808" s="57"/>
    </row>
    <row r="809" ht="15" spans="1:6">
      <c r="A809" s="55"/>
      <c r="B809" s="55"/>
      <c r="C809" s="55"/>
      <c r="D809" s="55"/>
      <c r="E809" s="57"/>
      <c r="F809" s="57"/>
    </row>
    <row r="810" ht="15" spans="1:6">
      <c r="A810" s="55"/>
      <c r="B810" s="55"/>
      <c r="C810" s="55"/>
      <c r="D810" s="55"/>
      <c r="E810" s="57"/>
      <c r="F810" s="57"/>
    </row>
    <row r="811" ht="15" spans="1:6">
      <c r="A811" s="55"/>
      <c r="B811" s="55"/>
      <c r="C811" s="55"/>
      <c r="D811" s="55"/>
      <c r="E811" s="57"/>
      <c r="F811" s="57"/>
    </row>
    <row r="812" ht="15" spans="1:6">
      <c r="A812" s="55"/>
      <c r="B812" s="55"/>
      <c r="C812" s="55"/>
      <c r="D812" s="55"/>
      <c r="E812" s="57"/>
      <c r="F812" s="57"/>
    </row>
    <row r="813" ht="15" spans="1:6">
      <c r="A813" s="55"/>
      <c r="B813" s="55"/>
      <c r="C813" s="55"/>
      <c r="D813" s="55"/>
      <c r="E813" s="57"/>
      <c r="F813" s="57"/>
    </row>
    <row r="814" ht="15" spans="1:6">
      <c r="A814" s="55"/>
      <c r="B814" s="55"/>
      <c r="C814" s="55"/>
      <c r="D814" s="55"/>
      <c r="E814" s="57"/>
      <c r="F814" s="57"/>
    </row>
    <row r="815" ht="15" spans="1:6">
      <c r="A815" s="55"/>
      <c r="B815" s="55"/>
      <c r="C815" s="55"/>
      <c r="D815" s="55"/>
      <c r="E815" s="57"/>
      <c r="F815" s="57"/>
    </row>
    <row r="816" ht="15" spans="1:6">
      <c r="A816" s="55"/>
      <c r="B816" s="55"/>
      <c r="C816" s="55"/>
      <c r="D816" s="55"/>
      <c r="E816" s="57"/>
      <c r="F816" s="57"/>
    </row>
    <row r="817" ht="15" spans="1:6">
      <c r="A817" s="55"/>
      <c r="B817" s="55"/>
      <c r="C817" s="55"/>
      <c r="D817" s="55"/>
      <c r="E817" s="57"/>
      <c r="F817" s="57"/>
    </row>
    <row r="818" ht="15" spans="1:6">
      <c r="A818" s="55"/>
      <c r="B818" s="55"/>
      <c r="C818" s="55"/>
      <c r="D818" s="55"/>
      <c r="E818" s="57"/>
      <c r="F818" s="57"/>
    </row>
    <row r="819" ht="15" spans="1:6">
      <c r="A819" s="55"/>
      <c r="B819" s="55"/>
      <c r="C819" s="55"/>
      <c r="D819" s="55"/>
      <c r="E819" s="57"/>
      <c r="F819" s="57"/>
    </row>
    <row r="820" ht="15" spans="1:6">
      <c r="A820" s="55"/>
      <c r="B820" s="55"/>
      <c r="C820" s="55"/>
      <c r="D820" s="55"/>
      <c r="E820" s="57"/>
      <c r="F820" s="57"/>
    </row>
    <row r="821" ht="15" spans="1:6">
      <c r="A821" s="55"/>
      <c r="B821" s="55"/>
      <c r="C821" s="55"/>
      <c r="D821" s="55"/>
      <c r="E821" s="57"/>
      <c r="F821" s="57"/>
    </row>
    <row r="822" ht="15" spans="1:6">
      <c r="A822" s="55"/>
      <c r="B822" s="55"/>
      <c r="C822" s="55"/>
      <c r="D822" s="55"/>
      <c r="E822" s="57"/>
      <c r="F822" s="57"/>
    </row>
    <row r="823" ht="15" spans="1:6">
      <c r="A823" s="55"/>
      <c r="B823" s="55"/>
      <c r="C823" s="55"/>
      <c r="D823" s="55"/>
      <c r="E823" s="57"/>
      <c r="F823" s="57"/>
    </row>
    <row r="824" ht="15" spans="1:6">
      <c r="A824" s="55"/>
      <c r="B824" s="55"/>
      <c r="C824" s="55"/>
      <c r="D824" s="55"/>
      <c r="E824" s="57"/>
      <c r="F824" s="57"/>
    </row>
    <row r="825" ht="15" spans="1:6">
      <c r="A825" s="55"/>
      <c r="B825" s="55"/>
      <c r="C825" s="55"/>
      <c r="D825" s="55"/>
      <c r="E825" s="57"/>
      <c r="F825" s="57"/>
    </row>
    <row r="826" ht="15" spans="1:6">
      <c r="A826" s="55"/>
      <c r="B826" s="55"/>
      <c r="C826" s="55"/>
      <c r="D826" s="55"/>
      <c r="E826" s="57"/>
      <c r="F826" s="57"/>
    </row>
    <row r="827" ht="15" spans="1:6">
      <c r="A827" s="55"/>
      <c r="B827" s="55"/>
      <c r="C827" s="55"/>
      <c r="D827" s="55"/>
      <c r="E827" s="57"/>
      <c r="F827" s="57"/>
    </row>
    <row r="828" ht="15" spans="1:6">
      <c r="A828" s="55"/>
      <c r="B828" s="55"/>
      <c r="C828" s="55"/>
      <c r="D828" s="55"/>
      <c r="E828" s="57"/>
      <c r="F828" s="57"/>
    </row>
    <row r="829" ht="15" spans="1:6">
      <c r="A829" s="55"/>
      <c r="B829" s="55"/>
      <c r="C829" s="55"/>
      <c r="D829" s="55"/>
      <c r="E829" s="57"/>
      <c r="F829" s="57"/>
    </row>
    <row r="830" ht="15" spans="1:6">
      <c r="A830" s="55"/>
      <c r="B830" s="55"/>
      <c r="C830" s="55"/>
      <c r="D830" s="55"/>
      <c r="E830" s="57"/>
      <c r="F830" s="57"/>
    </row>
    <row r="831" ht="15" spans="1:6">
      <c r="A831" s="55"/>
      <c r="B831" s="55"/>
      <c r="C831" s="55"/>
      <c r="D831" s="55"/>
      <c r="E831" s="57"/>
      <c r="F831" s="57"/>
    </row>
    <row r="832" ht="15" spans="1:6">
      <c r="A832" s="55"/>
      <c r="B832" s="55"/>
      <c r="C832" s="55"/>
      <c r="D832" s="55"/>
      <c r="E832" s="57"/>
      <c r="F832" s="57"/>
    </row>
    <row r="833" ht="15" spans="1:6">
      <c r="A833" s="55"/>
      <c r="B833" s="55"/>
      <c r="C833" s="55"/>
      <c r="D833" s="55"/>
      <c r="E833" s="57"/>
      <c r="F833" s="57"/>
    </row>
    <row r="834" ht="15" spans="1:6">
      <c r="A834" s="55"/>
      <c r="B834" s="55"/>
      <c r="C834" s="55"/>
      <c r="D834" s="55"/>
      <c r="E834" s="57"/>
      <c r="F834" s="57"/>
    </row>
    <row r="835" ht="15" spans="1:6">
      <c r="A835" s="55"/>
      <c r="B835" s="55"/>
      <c r="C835" s="55"/>
      <c r="D835" s="55"/>
      <c r="E835" s="57"/>
      <c r="F835" s="57"/>
    </row>
    <row r="836" ht="15" spans="1:6">
      <c r="A836" s="55"/>
      <c r="B836" s="55"/>
      <c r="C836" s="55"/>
      <c r="D836" s="55"/>
      <c r="E836" s="57"/>
      <c r="F836" s="57"/>
    </row>
    <row r="837" ht="15" spans="1:6">
      <c r="A837" s="55"/>
      <c r="B837" s="55"/>
      <c r="C837" s="55"/>
      <c r="D837" s="55"/>
      <c r="E837" s="57"/>
      <c r="F837" s="57"/>
    </row>
    <row r="838" ht="15" spans="1:6">
      <c r="A838" s="55"/>
      <c r="B838" s="55"/>
      <c r="C838" s="55"/>
      <c r="D838" s="55"/>
      <c r="E838" s="57"/>
      <c r="F838" s="57"/>
    </row>
    <row r="839" ht="15" spans="1:6">
      <c r="A839" s="55"/>
      <c r="B839" s="55"/>
      <c r="C839" s="55"/>
      <c r="D839" s="55"/>
      <c r="E839" s="57"/>
      <c r="F839" s="57"/>
    </row>
    <row r="840" ht="15" spans="1:6">
      <c r="A840" s="55"/>
      <c r="B840" s="55"/>
      <c r="C840" s="55"/>
      <c r="D840" s="55"/>
      <c r="E840" s="57"/>
      <c r="F840" s="57"/>
    </row>
    <row r="841" ht="15" spans="1:6">
      <c r="A841" s="55"/>
      <c r="B841" s="55"/>
      <c r="C841" s="55"/>
      <c r="D841" s="55"/>
      <c r="E841" s="57"/>
      <c r="F841" s="57"/>
    </row>
    <row r="842" ht="15" spans="1:6">
      <c r="A842" s="55"/>
      <c r="B842" s="55"/>
      <c r="C842" s="55"/>
      <c r="D842" s="55"/>
      <c r="E842" s="57"/>
      <c r="F842" s="57"/>
    </row>
    <row r="843" ht="15" spans="1:6">
      <c r="A843" s="55"/>
      <c r="B843" s="55"/>
      <c r="C843" s="55"/>
      <c r="D843" s="55"/>
      <c r="E843" s="57"/>
      <c r="F843" s="57"/>
    </row>
    <row r="844" ht="15" spans="1:6">
      <c r="A844" s="55"/>
      <c r="B844" s="55"/>
      <c r="C844" s="55"/>
      <c r="D844" s="55"/>
      <c r="E844" s="57"/>
      <c r="F844" s="57"/>
    </row>
    <row r="845" ht="15" spans="1:6">
      <c r="A845" s="55"/>
      <c r="B845" s="55"/>
      <c r="C845" s="55"/>
      <c r="D845" s="55"/>
      <c r="E845" s="57"/>
      <c r="F845" s="57"/>
    </row>
    <row r="846" ht="15" spans="1:6">
      <c r="A846" s="55"/>
      <c r="B846" s="55"/>
      <c r="C846" s="55"/>
      <c r="D846" s="55"/>
      <c r="E846" s="57"/>
      <c r="F846" s="57"/>
    </row>
    <row r="847" ht="15" spans="1:6">
      <c r="A847" s="55"/>
      <c r="B847" s="55"/>
      <c r="C847" s="55"/>
      <c r="D847" s="55"/>
      <c r="E847" s="57"/>
      <c r="F847" s="57"/>
    </row>
    <row r="848" ht="15" spans="1:6">
      <c r="A848" s="55"/>
      <c r="B848" s="55"/>
      <c r="C848" s="55"/>
      <c r="D848" s="55"/>
      <c r="E848" s="57"/>
      <c r="F848" s="57"/>
    </row>
    <row r="849" ht="15" spans="1:6">
      <c r="A849" s="55"/>
      <c r="B849" s="55"/>
      <c r="C849" s="55"/>
      <c r="D849" s="55"/>
      <c r="E849" s="57"/>
      <c r="F849" s="57"/>
    </row>
    <row r="850" ht="15" spans="1:6">
      <c r="A850" s="55"/>
      <c r="B850" s="55"/>
      <c r="C850" s="55"/>
      <c r="D850" s="55"/>
      <c r="E850" s="57"/>
      <c r="F850" s="57"/>
    </row>
    <row r="851" ht="15" spans="1:6">
      <c r="A851" s="55"/>
      <c r="B851" s="55"/>
      <c r="C851" s="55"/>
      <c r="D851" s="55"/>
      <c r="E851" s="57"/>
      <c r="F851" s="57"/>
    </row>
    <row r="852" ht="15" spans="1:6">
      <c r="A852" s="55"/>
      <c r="B852" s="55"/>
      <c r="C852" s="55"/>
      <c r="D852" s="55"/>
      <c r="E852" s="57"/>
      <c r="F852" s="57"/>
    </row>
    <row r="853" ht="15" spans="1:6">
      <c r="A853" s="55"/>
      <c r="B853" s="55"/>
      <c r="C853" s="55"/>
      <c r="D853" s="55"/>
      <c r="E853" s="57"/>
      <c r="F853" s="57"/>
    </row>
    <row r="854" ht="15" spans="1:6">
      <c r="A854" s="55"/>
      <c r="B854" s="55"/>
      <c r="C854" s="55"/>
      <c r="D854" s="55"/>
      <c r="E854" s="57"/>
      <c r="F854" s="57"/>
    </row>
    <row r="855" ht="15" spans="1:6">
      <c r="A855" s="55"/>
      <c r="B855" s="55"/>
      <c r="C855" s="55"/>
      <c r="D855" s="55"/>
      <c r="E855" s="57"/>
      <c r="F855" s="57"/>
    </row>
    <row r="856" ht="15" spans="1:6">
      <c r="A856" s="55"/>
      <c r="B856" s="55"/>
      <c r="C856" s="55"/>
      <c r="D856" s="55"/>
      <c r="E856" s="57"/>
      <c r="F856" s="57"/>
    </row>
    <row r="857" ht="15" spans="1:6">
      <c r="A857" s="55"/>
      <c r="B857" s="55"/>
      <c r="C857" s="55"/>
      <c r="D857" s="55"/>
      <c r="E857" s="57"/>
      <c r="F857" s="57"/>
    </row>
    <row r="858" ht="15" spans="1:6">
      <c r="A858" s="55"/>
      <c r="B858" s="55"/>
      <c r="C858" s="55"/>
      <c r="D858" s="55"/>
      <c r="E858" s="57"/>
      <c r="F858" s="57"/>
    </row>
    <row r="859" ht="15" spans="1:6">
      <c r="A859" s="55"/>
      <c r="B859" s="55"/>
      <c r="C859" s="55"/>
      <c r="D859" s="55"/>
      <c r="E859" s="57"/>
      <c r="F859" s="57"/>
    </row>
    <row r="860" ht="15" spans="1:6">
      <c r="A860" s="55"/>
      <c r="B860" s="55"/>
      <c r="C860" s="55"/>
      <c r="D860" s="55"/>
      <c r="E860" s="57"/>
      <c r="F860" s="57"/>
    </row>
    <row r="861" ht="15" spans="1:6">
      <c r="A861" s="55"/>
      <c r="B861" s="55"/>
      <c r="C861" s="55"/>
      <c r="D861" s="55"/>
      <c r="E861" s="57"/>
      <c r="F861" s="57"/>
    </row>
    <row r="862" ht="15" spans="1:6">
      <c r="A862" s="55"/>
      <c r="B862" s="55"/>
      <c r="C862" s="55"/>
      <c r="D862" s="55"/>
      <c r="E862" s="57"/>
      <c r="F862" s="57"/>
    </row>
    <row r="863" ht="15" spans="1:6">
      <c r="A863" s="55"/>
      <c r="B863" s="55"/>
      <c r="C863" s="55"/>
      <c r="D863" s="55"/>
      <c r="E863" s="57"/>
      <c r="F863" s="57"/>
    </row>
    <row r="864" ht="15" spans="1:6">
      <c r="A864" s="55"/>
      <c r="B864" s="55"/>
      <c r="C864" s="55"/>
      <c r="D864" s="55"/>
      <c r="E864" s="57"/>
      <c r="F864" s="57"/>
    </row>
    <row r="865" ht="15" spans="1:6">
      <c r="A865" s="55"/>
      <c r="B865" s="55"/>
      <c r="C865" s="55"/>
      <c r="D865" s="55"/>
      <c r="E865" s="57"/>
      <c r="F865" s="57"/>
    </row>
    <row r="866" ht="15" spans="1:6">
      <c r="A866" s="55"/>
      <c r="B866" s="55"/>
      <c r="C866" s="55"/>
      <c r="D866" s="55"/>
      <c r="E866" s="57"/>
      <c r="F866" s="57"/>
    </row>
    <row r="867" ht="15" spans="1:6">
      <c r="A867" s="55"/>
      <c r="B867" s="55"/>
      <c r="C867" s="55"/>
      <c r="D867" s="55"/>
      <c r="E867" s="57"/>
      <c r="F867" s="57"/>
    </row>
    <row r="868" ht="15" spans="1:6">
      <c r="A868" s="55"/>
      <c r="B868" s="55"/>
      <c r="C868" s="55"/>
      <c r="D868" s="55"/>
      <c r="E868" s="57"/>
      <c r="F868" s="57"/>
    </row>
    <row r="869" ht="15" spans="1:6">
      <c r="A869" s="55"/>
      <c r="B869" s="55"/>
      <c r="C869" s="55"/>
      <c r="D869" s="55"/>
      <c r="E869" s="57"/>
      <c r="F869" s="57"/>
    </row>
    <row r="870" ht="15" spans="1:6">
      <c r="A870" s="55"/>
      <c r="B870" s="55"/>
      <c r="C870" s="55"/>
      <c r="D870" s="55"/>
      <c r="E870" s="57"/>
      <c r="F870" s="57"/>
    </row>
    <row r="871" ht="15" spans="1:6">
      <c r="A871" s="55"/>
      <c r="B871" s="55"/>
      <c r="C871" s="55"/>
      <c r="D871" s="55"/>
      <c r="E871" s="57"/>
      <c r="F871" s="57"/>
    </row>
    <row r="872" ht="15" spans="1:6">
      <c r="A872" s="55"/>
      <c r="B872" s="55"/>
      <c r="C872" s="55"/>
      <c r="D872" s="55"/>
      <c r="E872" s="57"/>
      <c r="F872" s="57"/>
    </row>
    <row r="873" ht="15" spans="1:6">
      <c r="A873" s="55"/>
      <c r="B873" s="55"/>
      <c r="C873" s="55"/>
      <c r="D873" s="55"/>
      <c r="E873" s="57"/>
      <c r="F873" s="57"/>
    </row>
    <row r="874" ht="15" spans="1:6">
      <c r="A874" s="55"/>
      <c r="B874" s="55"/>
      <c r="C874" s="55"/>
      <c r="D874" s="55"/>
      <c r="E874" s="57"/>
      <c r="F874" s="57"/>
    </row>
    <row r="875" ht="15" spans="1:6">
      <c r="A875" s="55"/>
      <c r="B875" s="55"/>
      <c r="C875" s="55"/>
      <c r="D875" s="55"/>
      <c r="E875" s="57"/>
      <c r="F875" s="57"/>
    </row>
    <row r="876" ht="15" spans="1:6">
      <c r="A876" s="55"/>
      <c r="B876" s="55"/>
      <c r="C876" s="55"/>
      <c r="D876" s="55"/>
      <c r="E876" s="57"/>
      <c r="F876" s="57"/>
    </row>
    <row r="877" ht="15" spans="1:6">
      <c r="A877" s="55"/>
      <c r="B877" s="55"/>
      <c r="C877" s="55"/>
      <c r="D877" s="55"/>
      <c r="E877" s="57"/>
      <c r="F877" s="57"/>
    </row>
    <row r="878" ht="15" spans="1:6">
      <c r="A878" s="55"/>
      <c r="B878" s="55"/>
      <c r="C878" s="55"/>
      <c r="D878" s="55"/>
      <c r="E878" s="57"/>
      <c r="F878" s="57"/>
    </row>
    <row r="879" ht="15" spans="1:6">
      <c r="A879" s="55"/>
      <c r="B879" s="55"/>
      <c r="C879" s="55"/>
      <c r="D879" s="55"/>
      <c r="E879" s="57"/>
      <c r="F879" s="57"/>
    </row>
    <row r="880" ht="15" spans="1:6">
      <c r="A880" s="55"/>
      <c r="B880" s="55"/>
      <c r="C880" s="55"/>
      <c r="D880" s="55"/>
      <c r="E880" s="57"/>
      <c r="F880" s="57"/>
    </row>
    <row r="881" ht="15" spans="1:6">
      <c r="A881" s="55"/>
      <c r="B881" s="55"/>
      <c r="C881" s="55"/>
      <c r="D881" s="55"/>
      <c r="E881" s="57"/>
      <c r="F881" s="57"/>
    </row>
    <row r="882" ht="15" spans="1:6">
      <c r="A882" s="55"/>
      <c r="B882" s="55"/>
      <c r="C882" s="55"/>
      <c r="D882" s="55"/>
      <c r="E882" s="57"/>
      <c r="F882" s="57"/>
    </row>
    <row r="883" ht="15" spans="1:6">
      <c r="A883" s="55"/>
      <c r="B883" s="55"/>
      <c r="C883" s="55"/>
      <c r="D883" s="55"/>
      <c r="E883" s="57"/>
      <c r="F883" s="57"/>
    </row>
    <row r="884" ht="15" spans="1:6">
      <c r="A884" s="55"/>
      <c r="B884" s="55"/>
      <c r="C884" s="55"/>
      <c r="D884" s="55"/>
      <c r="E884" s="57"/>
      <c r="F884" s="57"/>
    </row>
    <row r="885" ht="15" spans="1:6">
      <c r="A885" s="55"/>
      <c r="B885" s="55"/>
      <c r="C885" s="55"/>
      <c r="D885" s="55"/>
      <c r="E885" s="57"/>
      <c r="F885" s="57"/>
    </row>
    <row r="886" ht="15" spans="1:6">
      <c r="A886" s="55"/>
      <c r="B886" s="55"/>
      <c r="C886" s="55"/>
      <c r="D886" s="55"/>
      <c r="E886" s="57"/>
      <c r="F886" s="57"/>
    </row>
    <row r="887" ht="15" spans="1:6">
      <c r="A887" s="55"/>
      <c r="B887" s="55"/>
      <c r="C887" s="55"/>
      <c r="D887" s="55"/>
      <c r="E887" s="57"/>
      <c r="F887" s="57"/>
    </row>
    <row r="888" ht="15" spans="1:6">
      <c r="A888" s="55"/>
      <c r="B888" s="55"/>
      <c r="C888" s="55"/>
      <c r="D888" s="55"/>
      <c r="E888" s="57"/>
      <c r="F888" s="57"/>
    </row>
    <row r="889" ht="15" spans="1:6">
      <c r="A889" s="55"/>
      <c r="B889" s="55"/>
      <c r="C889" s="55"/>
      <c r="D889" s="55"/>
      <c r="E889" s="57"/>
      <c r="F889" s="57"/>
    </row>
    <row r="890" ht="15" spans="1:6">
      <c r="A890" s="55"/>
      <c r="B890" s="55"/>
      <c r="C890" s="55"/>
      <c r="D890" s="55"/>
      <c r="E890" s="57"/>
      <c r="F890" s="57"/>
    </row>
    <row r="891" ht="15" spans="1:6">
      <c r="A891" s="55"/>
      <c r="B891" s="55"/>
      <c r="C891" s="55"/>
      <c r="D891" s="55"/>
      <c r="E891" s="57"/>
      <c r="F891" s="57"/>
    </row>
    <row r="892" ht="15" spans="1:6">
      <c r="A892" s="55"/>
      <c r="B892" s="55"/>
      <c r="C892" s="55"/>
      <c r="D892" s="55"/>
      <c r="E892" s="57"/>
      <c r="F892" s="57"/>
    </row>
    <row r="893" ht="15" spans="1:6">
      <c r="A893" s="55"/>
      <c r="B893" s="55"/>
      <c r="C893" s="55"/>
      <c r="D893" s="55"/>
      <c r="E893" s="57"/>
      <c r="F893" s="57"/>
    </row>
    <row r="894" ht="15" spans="1:6">
      <c r="A894" s="55"/>
      <c r="B894" s="55"/>
      <c r="C894" s="55"/>
      <c r="D894" s="55"/>
      <c r="E894" s="57"/>
      <c r="F894" s="57"/>
    </row>
    <row r="895" ht="15" spans="1:6">
      <c r="A895" s="55"/>
      <c r="B895" s="55"/>
      <c r="C895" s="55"/>
      <c r="D895" s="55"/>
      <c r="E895" s="57"/>
      <c r="F895" s="57"/>
    </row>
    <row r="896" ht="15" spans="1:6">
      <c r="A896" s="55"/>
      <c r="B896" s="55"/>
      <c r="C896" s="55"/>
      <c r="D896" s="55"/>
      <c r="E896" s="57"/>
      <c r="F896" s="57"/>
    </row>
  </sheetData>
  <conditionalFormatting sqref="B33">
    <cfRule type="expression" dxfId="1" priority="121" stopIfTrue="1">
      <formula>AND(COUNTA($B32:$G32)&lt;&gt;0,COUNTA($B33:$G33)&lt;&gt;0)</formula>
    </cfRule>
    <cfRule type="expression" dxfId="0" priority="120" stopIfTrue="1">
      <formula>AND(COUNTA($B32:$G32)&lt;&gt;0,COUNTA($B33:$G33)=0)</formula>
    </cfRule>
  </conditionalFormatting>
  <conditionalFormatting sqref="A34:D34">
    <cfRule type="expression" dxfId="1" priority="123" stopIfTrue="1">
      <formula>AND(COUNTA($B33:$G33)&lt;&gt;0,COUNTA($B34:$G34)&lt;&gt;0)</formula>
    </cfRule>
    <cfRule type="expression" dxfId="0" priority="122" stopIfTrue="1">
      <formula>AND(COUNTA($B33:$G33)&lt;&gt;0,COUNTA($B34:$G34)=0)</formula>
    </cfRule>
  </conditionalFormatting>
  <conditionalFormatting sqref="B35">
    <cfRule type="expression" dxfId="1" priority="105" stopIfTrue="1">
      <formula>AND(COUNTA($B34:$G34)&lt;&gt;0,COUNTA($B35:$G35)&lt;&gt;0)</formula>
    </cfRule>
    <cfRule type="expression" dxfId="0" priority="104" stopIfTrue="1">
      <formula>AND(COUNTA($B34:$G34)&lt;&gt;0,COUNTA($B35:$G35)=0)</formula>
    </cfRule>
  </conditionalFormatting>
  <conditionalFormatting sqref="A38">
    <cfRule type="expression" dxfId="1" priority="117" stopIfTrue="1">
      <formula>AND(COUNTA($B37:$G37)&lt;&gt;0,COUNTA($B38:$G38)&lt;&gt;0)</formula>
    </cfRule>
    <cfRule type="expression" dxfId="0" priority="116" stopIfTrue="1">
      <formula>AND(COUNTA($B37:$G37)&lt;&gt;0,COUNTA($B38:$G38)=0)</formula>
    </cfRule>
  </conditionalFormatting>
  <conditionalFormatting sqref="B38">
    <cfRule type="expression" dxfId="1" priority="101" stopIfTrue="1">
      <formula>AND(COUNTA($B37:$G37)&lt;&gt;0,COUNTA($B38:$G38)&lt;&gt;0)</formula>
    </cfRule>
    <cfRule type="expression" dxfId="0" priority="100" stopIfTrue="1">
      <formula>AND(COUNTA($B37:$G37)&lt;&gt;0,COUNTA($B38:$G38)=0)</formula>
    </cfRule>
  </conditionalFormatting>
  <conditionalFormatting sqref="A39:D39">
    <cfRule type="expression" dxfId="1" priority="115" stopIfTrue="1">
      <formula>AND(COUNTA($B38:$G38)&lt;&gt;0,COUNTA($B39:$G39)&lt;&gt;0)</formula>
    </cfRule>
    <cfRule type="expression" dxfId="0" priority="114" stopIfTrue="1">
      <formula>AND(COUNTA($B38:$G38)&lt;&gt;0,COUNTA($B39:$G39)=0)</formula>
    </cfRule>
  </conditionalFormatting>
  <conditionalFormatting sqref="A40">
    <cfRule type="expression" dxfId="1" priority="75" stopIfTrue="1">
      <formula>AND(COUNTA($B39:$G39)&lt;&gt;0,COUNTA($B40:$G40)&lt;&gt;0)</formula>
    </cfRule>
    <cfRule type="expression" dxfId="0" priority="74" stopIfTrue="1">
      <formula>AND(COUNTA($B39:$G39)&lt;&gt;0,COUNTA($B40:$G40)=0)</formula>
    </cfRule>
  </conditionalFormatting>
  <conditionalFormatting sqref="B40:D40">
    <cfRule type="expression" dxfId="1" priority="77" stopIfTrue="1">
      <formula>AND(COUNTA($B39:$G39)&lt;&gt;0,COUNTA($B40:$G40)&lt;&gt;0)</formula>
    </cfRule>
    <cfRule type="expression" dxfId="0" priority="76" stopIfTrue="1">
      <formula>AND(COUNTA($B39:$G39)&lt;&gt;0,COUNTA($B40:$G40)=0)</formula>
    </cfRule>
  </conditionalFormatting>
  <conditionalFormatting sqref="F40">
    <cfRule type="expression" dxfId="1" priority="113" stopIfTrue="1">
      <formula>AND(COUNTA($B39:$G39)&lt;&gt;0,COUNTA($B40:$G40)&lt;&gt;0)</formula>
    </cfRule>
    <cfRule type="expression" dxfId="0" priority="112" stopIfTrue="1">
      <formula>AND(COUNTA($B39:$G39)&lt;&gt;0,COUNTA($B40:$G40)=0)</formula>
    </cfRule>
  </conditionalFormatting>
  <conditionalFormatting sqref="A43:D43">
    <cfRule type="expression" dxfId="1" priority="109" stopIfTrue="1">
      <formula>AND(COUNTA($B42:$G42)&lt;&gt;0,COUNTA($B43:$G43)&lt;&gt;0)</formula>
    </cfRule>
    <cfRule type="expression" dxfId="0" priority="108" stopIfTrue="1">
      <formula>AND(COUNTA($B42:$G42)&lt;&gt;0,COUNTA($B43:$G43)=0)</formula>
    </cfRule>
  </conditionalFormatting>
  <conditionalFormatting sqref="A44:D44">
    <cfRule type="expression" dxfId="1" priority="107" stopIfTrue="1">
      <formula>AND(COUNTA($B43:$G43)&lt;&gt;0,COUNTA($B44:$G44)&lt;&gt;0)</formula>
    </cfRule>
    <cfRule type="expression" dxfId="0" priority="106" stopIfTrue="1">
      <formula>AND(COUNTA($B43:$G43)&lt;&gt;0,COUNTA($B44:$G44)=0)</formula>
    </cfRule>
  </conditionalFormatting>
  <conditionalFormatting sqref="A45:D45">
    <cfRule type="expression" dxfId="1" priority="99" stopIfTrue="1">
      <formula>AND(COUNTA($B44:$G44)&lt;&gt;0,COUNTA($B45:$G45)&lt;&gt;0)</formula>
    </cfRule>
    <cfRule type="expression" dxfId="0" priority="98" stopIfTrue="1">
      <formula>AND(COUNTA($B44:$G44)&lt;&gt;0,COUNTA($B45:$G45)=0)</formula>
    </cfRule>
  </conditionalFormatting>
  <conditionalFormatting sqref="A48:D48">
    <cfRule type="expression" dxfId="1" priority="95" stopIfTrue="1">
      <formula>AND(COUNTA($B47:$G47)&lt;&gt;0,COUNTA($B48:$G48)&lt;&gt;0)</formula>
    </cfRule>
    <cfRule type="expression" dxfId="0" priority="94" stopIfTrue="1">
      <formula>AND(COUNTA($B47:$G47)&lt;&gt;0,COUNTA($B48:$G48)=0)</formula>
    </cfRule>
  </conditionalFormatting>
  <conditionalFormatting sqref="A49:D49">
    <cfRule type="expression" dxfId="1" priority="93" stopIfTrue="1">
      <formula>AND(COUNTA($B48:$G48)&lt;&gt;0,COUNTA($B49:$G49)&lt;&gt;0)</formula>
    </cfRule>
    <cfRule type="expression" dxfId="0" priority="92" stopIfTrue="1">
      <formula>AND(COUNTA($B48:$G48)&lt;&gt;0,COUNTA($B49:$G49)=0)</formula>
    </cfRule>
  </conditionalFormatting>
  <conditionalFormatting sqref="C49:D49">
    <cfRule type="expression" dxfId="1" priority="72" stopIfTrue="1">
      <formula>AND(COUNTA($B48:$G48)&lt;&gt;0,COUNTA($B49:$G49)&lt;&gt;0)</formula>
    </cfRule>
    <cfRule type="expression" dxfId="0" priority="71" stopIfTrue="1">
      <formula>AND(COUNTA($B48:$G48)&lt;&gt;0,COUNTA($B49:$G49)=0)</formula>
    </cfRule>
  </conditionalFormatting>
  <conditionalFormatting sqref="A50:D50">
    <cfRule type="expression" dxfId="1" priority="91" stopIfTrue="1">
      <formula>AND(COUNTA($B49:$G49)&lt;&gt;0,COUNTA($B50:$G50)&lt;&gt;0)</formula>
    </cfRule>
    <cfRule type="expression" dxfId="0" priority="90" stopIfTrue="1">
      <formula>AND(COUNTA($B49:$G49)&lt;&gt;0,COUNTA($B50:$G50)=0)</formula>
    </cfRule>
  </conditionalFormatting>
  <conditionalFormatting sqref="A53:D53">
    <cfRule type="expression" dxfId="1" priority="87" stopIfTrue="1">
      <formula>AND(COUNTA($B52:$G52)&lt;&gt;0,COUNTA($B53:$G53)&lt;&gt;0)</formula>
    </cfRule>
    <cfRule type="expression" dxfId="0" priority="86" stopIfTrue="1">
      <formula>AND(COUNTA($B52:$G52)&lt;&gt;0,COUNTA($B53:$G53)=0)</formula>
    </cfRule>
  </conditionalFormatting>
  <conditionalFormatting sqref="A54:D54">
    <cfRule type="expression" dxfId="1" priority="85" stopIfTrue="1">
      <formula>AND(COUNTA($B53:$G53)&lt;&gt;0,COUNTA($B54:$G54)&lt;&gt;0)</formula>
    </cfRule>
    <cfRule type="expression" dxfId="0" priority="84" stopIfTrue="1">
      <formula>AND(COUNTA($B53:$G53)&lt;&gt;0,COUNTA($B54:$G54)=0)</formula>
    </cfRule>
  </conditionalFormatting>
  <conditionalFormatting sqref="C54:D54">
    <cfRule type="expression" dxfId="1" priority="70" stopIfTrue="1">
      <formula>AND(COUNTA($B53:$G53)&lt;&gt;0,COUNTA($B54:$G54)&lt;&gt;0)</formula>
    </cfRule>
    <cfRule type="expression" dxfId="0" priority="69" stopIfTrue="1">
      <formula>AND(COUNTA($B53:$G53)&lt;&gt;0,COUNTA($B54:$G54)=0)</formula>
    </cfRule>
  </conditionalFormatting>
  <conditionalFormatting sqref="A55:D55">
    <cfRule type="expression" dxfId="1" priority="83" stopIfTrue="1">
      <formula>AND(COUNTA($B54:$G54)&lt;&gt;0,COUNTA($B55:$G55)&lt;&gt;0)</formula>
    </cfRule>
    <cfRule type="expression" dxfId="0" priority="82" stopIfTrue="1">
      <formula>AND(COUNTA($B54:$G54)&lt;&gt;0,COUNTA($B55:$G55)=0)</formula>
    </cfRule>
  </conditionalFormatting>
  <conditionalFormatting sqref="A58:D58">
    <cfRule type="expression" dxfId="1" priority="79" stopIfTrue="1">
      <formula>AND(COUNTA($B57:$G57)&lt;&gt;0,COUNTA($B58:$G58)&lt;&gt;0)</formula>
    </cfRule>
    <cfRule type="expression" dxfId="0" priority="78" stopIfTrue="1">
      <formula>AND(COUNTA($B57:$G57)&lt;&gt;0,COUNTA($B58:$G58)=0)</formula>
    </cfRule>
  </conditionalFormatting>
  <conditionalFormatting sqref="A69:F69">
    <cfRule type="expression" dxfId="1" priority="21" stopIfTrue="1">
      <formula>AND(COUNTA($B67:$G67)&lt;&gt;0,COUNTA($B69:$G69)&lt;&gt;0)</formula>
    </cfRule>
    <cfRule type="expression" dxfId="0" priority="20" stopIfTrue="1">
      <formula>AND(COUNTA($B67:$G67)&lt;&gt;0,COUNTA($B69:$G69)=0)</formula>
    </cfRule>
  </conditionalFormatting>
  <conditionalFormatting sqref="C69:D69">
    <cfRule type="duplicateValues" dxfId="4" priority="19" stopIfTrue="1"/>
  </conditionalFormatting>
  <conditionalFormatting sqref="A70:F70">
    <cfRule type="expression" dxfId="1" priority="137" stopIfTrue="1">
      <formula>AND(COUNTA($B68:$G68)&lt;&gt;0,COUNTA($B70:$G70)&lt;&gt;0)</formula>
    </cfRule>
    <cfRule type="expression" dxfId="0" priority="136" stopIfTrue="1">
      <formula>AND(COUNTA($B68:$G68)&lt;&gt;0,COUNTA($B70:$G70)=0)</formula>
    </cfRule>
  </conditionalFormatting>
  <conditionalFormatting sqref="C90">
    <cfRule type="expression" dxfId="1" priority="42" stopIfTrue="1">
      <formula>AND(COUNTA($B89:$G89)&lt;&gt;0,COUNTA($B90:$G90)&lt;&gt;0)</formula>
    </cfRule>
    <cfRule type="expression" dxfId="0" priority="41" stopIfTrue="1">
      <formula>AND(COUNTA($B89:$G89)&lt;&gt;0,COUNTA($B90:$G90)=0)</formula>
    </cfRule>
    <cfRule type="duplicateValues" dxfId="4" priority="40" stopIfTrue="1"/>
  </conditionalFormatting>
  <conditionalFormatting sqref="C91">
    <cfRule type="expression" dxfId="1" priority="39" stopIfTrue="1">
      <formula>AND(COUNTA($B90:$G90)&lt;&gt;0,COUNTA($B91:$G91)&lt;&gt;0)</formula>
    </cfRule>
    <cfRule type="expression" dxfId="0" priority="38" stopIfTrue="1">
      <formula>AND(COUNTA($B90:$G90)&lt;&gt;0,COUNTA($B91:$G91)=0)</formula>
    </cfRule>
    <cfRule type="duplicateValues" dxfId="4" priority="37" stopIfTrue="1"/>
  </conditionalFormatting>
  <conditionalFormatting sqref="C97">
    <cfRule type="expression" dxfId="1" priority="30" stopIfTrue="1">
      <formula>AND(COUNTA($B96:$G96)&lt;&gt;0,COUNTA($B97:$G97)&lt;&gt;0)</formula>
    </cfRule>
    <cfRule type="expression" dxfId="0" priority="29" stopIfTrue="1">
      <formula>AND(COUNTA($B96:$G96)&lt;&gt;0,COUNTA($B97:$G97)=0)</formula>
    </cfRule>
    <cfRule type="duplicateValues" dxfId="4" priority="28" stopIfTrue="1"/>
  </conditionalFormatting>
  <conditionalFormatting sqref="C103">
    <cfRule type="expression" dxfId="1" priority="36" stopIfTrue="1">
      <formula>AND(COUNTA($B102:$G102)&lt;&gt;0,COUNTA($B103:$G103)&lt;&gt;0)</formula>
    </cfRule>
    <cfRule type="expression" dxfId="0" priority="35" stopIfTrue="1">
      <formula>AND(COUNTA($B102:$G102)&lt;&gt;0,COUNTA($B103:$G103)=0)</formula>
    </cfRule>
    <cfRule type="duplicateValues" dxfId="4" priority="34" stopIfTrue="1"/>
  </conditionalFormatting>
  <conditionalFormatting sqref="C104">
    <cfRule type="expression" dxfId="1" priority="33" stopIfTrue="1">
      <formula>AND(COUNTA($B103:$G103)&lt;&gt;0,COUNTA($B104:$G104)&lt;&gt;0)</formula>
    </cfRule>
    <cfRule type="expression" dxfId="0" priority="32" stopIfTrue="1">
      <formula>AND(COUNTA($B103:$G103)&lt;&gt;0,COUNTA($B104:$G104)=0)</formula>
    </cfRule>
    <cfRule type="duplicateValues" dxfId="4" priority="31" stopIfTrue="1"/>
  </conditionalFormatting>
  <conditionalFormatting sqref="C108">
    <cfRule type="expression" dxfId="1" priority="27" stopIfTrue="1">
      <formula>AND(COUNTA($B107:$G107)&lt;&gt;0,COUNTA($B108:$G108)&lt;&gt;0)</formula>
    </cfRule>
    <cfRule type="expression" dxfId="0" priority="26" stopIfTrue="1">
      <formula>AND(COUNTA($B107:$G107)&lt;&gt;0,COUNTA($B108:$G108)=0)</formula>
    </cfRule>
    <cfRule type="duplicateValues" dxfId="4" priority="25" stopIfTrue="1"/>
  </conditionalFormatting>
  <conditionalFormatting sqref="C109">
    <cfRule type="expression" dxfId="1" priority="24" stopIfTrue="1">
      <formula>AND(COUNTA($B108:$G108)&lt;&gt;0,COUNTA($B109:$G109)&lt;&gt;0)</formula>
    </cfRule>
    <cfRule type="expression" dxfId="0" priority="23" stopIfTrue="1">
      <formula>AND(COUNTA($B108:$G108)&lt;&gt;0,COUNTA($B109:$G109)=0)</formula>
    </cfRule>
    <cfRule type="duplicateValues" dxfId="4" priority="22" stopIfTrue="1"/>
  </conditionalFormatting>
  <conditionalFormatting sqref="C211">
    <cfRule type="expression" dxfId="1" priority="12" stopIfTrue="1">
      <formula>AND(COUNTA($B210:$G210)&lt;&gt;0,COUNTA($B211:$G211)&lt;&gt;0)</formula>
    </cfRule>
    <cfRule type="expression" dxfId="0" priority="11" stopIfTrue="1">
      <formula>AND(COUNTA($B210:$G210)&lt;&gt;0,COUNTA($B211:$G211)=0)</formula>
    </cfRule>
  </conditionalFormatting>
  <conditionalFormatting sqref="A215:D215">
    <cfRule type="expression" dxfId="1" priority="8" stopIfTrue="1">
      <formula>AND(COUNTA($B214:$G214)&lt;&gt;0,COUNTA($B215:$G215)&lt;&gt;0)</formula>
    </cfRule>
    <cfRule type="expression" dxfId="0" priority="7" stopIfTrue="1">
      <formula>AND(COUNTA($B214:$G214)&lt;&gt;0,COUNTA($B215:$G215)=0)</formula>
    </cfRule>
  </conditionalFormatting>
  <conditionalFormatting sqref="C215:D215">
    <cfRule type="duplicateValues" dxfId="4" priority="6" stopIfTrue="1"/>
  </conditionalFormatting>
  <conditionalFormatting sqref="E215:F215">
    <cfRule type="expression" dxfId="1" priority="10" stopIfTrue="1">
      <formula>AND(COUNTA($B214:$G214)&lt;&gt;0,COUNTA($B215:$G215)&lt;&gt;0)</formula>
    </cfRule>
    <cfRule type="expression" dxfId="0" priority="9" stopIfTrue="1">
      <formula>AND(COUNTA($B214:$G214)&lt;&gt;0,COUNTA($B215:$G215)=0)</formula>
    </cfRule>
  </conditionalFormatting>
  <conditionalFormatting sqref="A2:A7">
    <cfRule type="expression" dxfId="1" priority="133" stopIfTrue="1">
      <formula>AND(COUNTA($B1:$G1)&lt;&gt;0,COUNTA($B2:$G2)&lt;&gt;0)</formula>
    </cfRule>
    <cfRule type="expression" dxfId="0" priority="132" stopIfTrue="1">
      <formula>AND(COUNTA($B1:$G1)&lt;&gt;0,COUNTA($B2:$G2)=0)</formula>
    </cfRule>
  </conditionalFormatting>
  <conditionalFormatting sqref="A18:A20">
    <cfRule type="expression" dxfId="1" priority="129" stopIfTrue="1">
      <formula>AND(COUNTA($B17:$G17)&lt;&gt;0,COUNTA($B18:$G18)&lt;&gt;0)</formula>
    </cfRule>
    <cfRule type="expression" dxfId="0" priority="128" stopIfTrue="1">
      <formula>AND(COUNTA($B17:$G17)&lt;&gt;0,COUNTA($B18:$G18)=0)</formula>
    </cfRule>
  </conditionalFormatting>
  <conditionalFormatting sqref="A21:A25">
    <cfRule type="expression" dxfId="1" priority="125" stopIfTrue="1">
      <formula>AND(COUNTA($B20:$G20)&lt;&gt;0,COUNTA($B21:$G21)&lt;&gt;0)</formula>
    </cfRule>
    <cfRule type="expression" dxfId="0" priority="124" stopIfTrue="1">
      <formula>AND(COUNTA($B20:$G20)&lt;&gt;0,COUNTA($B21:$G21)=0)</formula>
    </cfRule>
  </conditionalFormatting>
  <conditionalFormatting sqref="A36:A37">
    <cfRule type="expression" dxfId="1" priority="119" stopIfTrue="1">
      <formula>AND(COUNTA($B35:$G35)&lt;&gt;0,COUNTA($B36:$G36)&lt;&gt;0)</formula>
    </cfRule>
    <cfRule type="expression" dxfId="0" priority="118" stopIfTrue="1">
      <formula>AND(COUNTA($B35:$G35)&lt;&gt;0,COUNTA($B36:$G36)=0)</formula>
    </cfRule>
  </conditionalFormatting>
  <conditionalFormatting sqref="B36:B37">
    <cfRule type="expression" dxfId="1" priority="103" stopIfTrue="1">
      <formula>AND(COUNTA($B35:$G35)&lt;&gt;0,COUNTA($B36:$G36)&lt;&gt;0)</formula>
    </cfRule>
    <cfRule type="expression" dxfId="0" priority="102" stopIfTrue="1">
      <formula>AND(COUNTA($B35:$G35)&lt;&gt;0,COUNTA($B36:$G36)=0)</formula>
    </cfRule>
  </conditionalFormatting>
  <conditionalFormatting sqref="C897:D65536 C2:D58 C1">
    <cfRule type="duplicateValues" dxfId="4" priority="73" stopIfTrue="1"/>
  </conditionalFormatting>
  <conditionalFormatting sqref="F41:F44 E45:F68 E71:F75 A71:D71 A142:F142 E144:F146 E148:F150 E153:F157 E159:F162 A159:D159 E164:F165 A167:F167 E170:F170 E172:F180 B2:F7 E8:F9 A10:F11 A9:D9 A13:F16 E17:F20 B21:D25 A31:F32 A27:D29 E33:E44 A35 C35:D38 F34:F39">
    <cfRule type="expression" dxfId="1" priority="135" stopIfTrue="1">
      <formula>AND(COUNTA($B1:$G1)&lt;&gt;0,COUNTA($B2:$G2)&lt;&gt;0)</formula>
    </cfRule>
    <cfRule type="expression" dxfId="0" priority="134" stopIfTrue="1">
      <formula>AND(COUNTA($B1:$G1)&lt;&gt;0,COUNTA($B2:$G2)=0)</formula>
    </cfRule>
  </conditionalFormatting>
  <conditionalFormatting sqref="B18:D20">
    <cfRule type="expression" dxfId="1" priority="131" stopIfTrue="1">
      <formula>AND(COUNTA($B17:$G17)&lt;&gt;0,COUNTA($B18:$G18)&lt;&gt;0)</formula>
    </cfRule>
    <cfRule type="expression" dxfId="0" priority="130" stopIfTrue="1">
      <formula>AND(COUNTA($B17:$G17)&lt;&gt;0,COUNTA($B18:$G18)=0)</formula>
    </cfRule>
  </conditionalFormatting>
  <conditionalFormatting sqref="E21:F29">
    <cfRule type="expression" dxfId="1" priority="127" stopIfTrue="1">
      <formula>AND(COUNTA($B20:$G20)&lt;&gt;0,COUNTA($B21:$G21)&lt;&gt;0)</formula>
    </cfRule>
    <cfRule type="expression" dxfId="0" priority="126" stopIfTrue="1">
      <formula>AND(COUNTA($B20:$G20)&lt;&gt;0,COUNTA($B21:$G21)=0)</formula>
    </cfRule>
  </conditionalFormatting>
  <conditionalFormatting sqref="A41:D42">
    <cfRule type="expression" dxfId="1" priority="111" stopIfTrue="1">
      <formula>AND(COUNTA($B40:$G40)&lt;&gt;0,COUNTA($B41:$G41)&lt;&gt;0)</formula>
    </cfRule>
    <cfRule type="expression" dxfId="0" priority="110" stopIfTrue="1">
      <formula>AND(COUNTA($B40:$G40)&lt;&gt;0,COUNTA($B41:$G41)=0)</formula>
    </cfRule>
  </conditionalFormatting>
  <conditionalFormatting sqref="A46:D47">
    <cfRule type="expression" dxfId="1" priority="97" stopIfTrue="1">
      <formula>AND(COUNTA($B45:$G45)&lt;&gt;0,COUNTA($B46:$G46)&lt;&gt;0)</formula>
    </cfRule>
    <cfRule type="expression" dxfId="0" priority="96" stopIfTrue="1">
      <formula>AND(COUNTA($B45:$G45)&lt;&gt;0,COUNTA($B46:$G46)=0)</formula>
    </cfRule>
  </conditionalFormatting>
  <conditionalFormatting sqref="A51:D52">
    <cfRule type="expression" dxfId="1" priority="89" stopIfTrue="1">
      <formula>AND(COUNTA($B50:$G50)&lt;&gt;0,COUNTA($B51:$G51)&lt;&gt;0)</formula>
    </cfRule>
    <cfRule type="expression" dxfId="0" priority="88" stopIfTrue="1">
      <formula>AND(COUNTA($B50:$G50)&lt;&gt;0,COUNTA($B51:$G51)=0)</formula>
    </cfRule>
  </conditionalFormatting>
  <conditionalFormatting sqref="A56:D57">
    <cfRule type="expression" dxfId="1" priority="81" stopIfTrue="1">
      <formula>AND(COUNTA($B55:$G55)&lt;&gt;0,COUNTA($B56:$G56)&lt;&gt;0)</formula>
    </cfRule>
    <cfRule type="expression" dxfId="0" priority="80" stopIfTrue="1">
      <formula>AND(COUNTA($B55:$G55)&lt;&gt;0,COUNTA($B56:$G56)=0)</formula>
    </cfRule>
  </conditionalFormatting>
  <conditionalFormatting sqref="A59:D59 A62:D62 A65:D65 A68:D68 A72:D72 A75:D75">
    <cfRule type="expression" dxfId="1" priority="68" stopIfTrue="1">
      <formula>AND(COUNTA($B58:$G58)&lt;&gt;0,COUNTA($B59:$G59)&lt;&gt;0)</formula>
    </cfRule>
    <cfRule type="expression" dxfId="0" priority="67" stopIfTrue="1">
      <formula>AND(COUNTA($B58:$G58)&lt;&gt;0,COUNTA($B59:$G59)=0)</formula>
    </cfRule>
  </conditionalFormatting>
  <conditionalFormatting sqref="C59:D68 C70:D75">
    <cfRule type="duplicateValues" dxfId="4" priority="64" stopIfTrue="1"/>
  </conditionalFormatting>
  <conditionalFormatting sqref="A60:D61 A63:D64 A66:D67 A73:D74">
    <cfRule type="expression" dxfId="1" priority="66" stopIfTrue="1">
      <formula>AND(COUNTA($B59:$G59)&lt;&gt;0,COUNTA($B60:$G60)&lt;&gt;0)</formula>
    </cfRule>
    <cfRule type="expression" dxfId="0" priority="65" stopIfTrue="1">
      <formula>AND(COUNTA($B59:$G59)&lt;&gt;0,COUNTA($B60:$G60)=0)</formula>
    </cfRule>
  </conditionalFormatting>
  <conditionalFormatting sqref="A76:D77 A79:D80 A82:D83 A85:D86 A209:D210 A212:D213">
    <cfRule type="expression" dxfId="1" priority="59" stopIfTrue="1">
      <formula>AND(COUNTA($B75:$G75)&lt;&gt;0,COUNTA($B76:$G76)&lt;&gt;0)</formula>
    </cfRule>
    <cfRule type="expression" dxfId="0" priority="58" stopIfTrue="1">
      <formula>AND(COUNTA($B75:$G75)&lt;&gt;0,COUNTA($B76:$G76)=0)</formula>
    </cfRule>
  </conditionalFormatting>
  <conditionalFormatting sqref="C76:D87 C209:D214">
    <cfRule type="duplicateValues" dxfId="4" priority="57" stopIfTrue="1"/>
  </conditionalFormatting>
  <conditionalFormatting sqref="E76:F87 E209:F214">
    <cfRule type="expression" dxfId="1" priority="63" stopIfTrue="1">
      <formula>AND(COUNTA($B75:$G75)&lt;&gt;0,COUNTA($B76:$G76)&lt;&gt;0)</formula>
    </cfRule>
    <cfRule type="expression" dxfId="0" priority="62" stopIfTrue="1">
      <formula>AND(COUNTA($B75:$G75)&lt;&gt;0,COUNTA($B76:$G76)=0)</formula>
    </cfRule>
  </conditionalFormatting>
  <conditionalFormatting sqref="A78:D78 A81:D81 A84:D84 A87:D87 A211:D211 A214:D214">
    <cfRule type="expression" dxfId="1" priority="61" stopIfTrue="1">
      <formula>AND(COUNTA($B77:$G77)&lt;&gt;0,COUNTA($B78:$G78)&lt;&gt;0)</formula>
    </cfRule>
    <cfRule type="expression" dxfId="0" priority="60" stopIfTrue="1">
      <formula>AND(COUNTA($B77:$G77)&lt;&gt;0,COUNTA($B78:$G78)=0)</formula>
    </cfRule>
  </conditionalFormatting>
  <conditionalFormatting sqref="A88:D88 A101:D101 A114:D114 A127 A140:D140 A151:D151 A181:D181 A194:D194 A207:D207">
    <cfRule type="expression" dxfId="1" priority="52" stopIfTrue="1">
      <formula>AND(COUNTA($B87:$G87)&lt;&gt;0,COUNTA($B88:$G88)&lt;&gt;0)</formula>
    </cfRule>
    <cfRule type="expression" dxfId="0" priority="51" stopIfTrue="1">
      <formula>AND(COUNTA($B87:$G87)&lt;&gt;0,COUNTA($B88:$G88)=0)</formula>
    </cfRule>
  </conditionalFormatting>
  <conditionalFormatting sqref="C181:D182 C169:D170 C163:D163 C151:D152 C88:D89 C101:D102 C114:D115 C140:D141 C194:D195 C207:D208">
    <cfRule type="duplicateValues" dxfId="4" priority="50" stopIfTrue="1"/>
  </conditionalFormatting>
  <conditionalFormatting sqref="E88:F89 E101:F102 E114:F115 E127:F128 E140:F141 E151:F152 E181:F182 E194:F195 E207:F208">
    <cfRule type="expression" dxfId="1" priority="56" stopIfTrue="1">
      <formula>AND(COUNTA($B87:$G87)&lt;&gt;0,COUNTA($B88:$G88)&lt;&gt;0)</formula>
    </cfRule>
    <cfRule type="expression" dxfId="0" priority="55" stopIfTrue="1">
      <formula>AND(COUNTA($B87:$G87)&lt;&gt;0,COUNTA($B88:$G88)=0)</formula>
    </cfRule>
  </conditionalFormatting>
  <conditionalFormatting sqref="A89:D89 A102:D102 A115:D115 A128 A141:D141 A152:D152 A170:D170 A182:D182 A195:D195 A208:D208">
    <cfRule type="expression" dxfId="1" priority="54" stopIfTrue="1">
      <formula>AND(COUNTA($B88:$G88)&lt;&gt;0,COUNTA($B89:$G89)&lt;&gt;0)</formula>
    </cfRule>
    <cfRule type="expression" dxfId="0" priority="53" stopIfTrue="1">
      <formula>AND(COUNTA($B88:$G88)&lt;&gt;0,COUNTA($B89:$G89)=0)</formula>
    </cfRule>
  </conditionalFormatting>
  <conditionalFormatting sqref="A116:D117 A129:A130 A153:D154 A164:D165 A183:D184 A196:D197 A93:D94 A106:D107 A119:A120 A132:A133 A144:D145 A156:D157 A173:D174 A186:D187 A199:D200 A96:D96 A110:D110 A122:A123 A136:D136 A176:D177 A189:D190 A202:D203 A99:D100 A112:D113 A125:A126 A138:D139 A149:D150 A161:D162 A179:D180 A192:D193 A205:D206 A90:B91 D90:D91 A103:B104 D103:D104 A97:B97 D97 A109:B109 D109 A135">
    <cfRule type="expression" dxfId="1" priority="45" stopIfTrue="1">
      <formula>AND(COUNTA($B89:$G89)&lt;&gt;0,COUNTA($B90:$G90)&lt;&gt;0)</formula>
    </cfRule>
    <cfRule type="expression" dxfId="0" priority="44" stopIfTrue="1">
      <formula>AND(COUNTA($B89:$G89)&lt;&gt;0,COUNTA($B90:$G90)=0)</formula>
    </cfRule>
  </conditionalFormatting>
  <conditionalFormatting sqref="C183:D193 C171:D180 C164:D168 C153:D162 C92:D96 C105:D107 C116:D118 C136:D139 C196:D206 D90:D91 D103:D104 C98:D100 D97 C110:D113 D108:D109 C142:D150">
    <cfRule type="duplicateValues" dxfId="4" priority="43" stopIfTrue="1"/>
  </conditionalFormatting>
  <conditionalFormatting sqref="E90:F100 E103:F113 E116:F126 E129:F139 E183:F193 E196:F206">
    <cfRule type="expression" dxfId="1" priority="49" stopIfTrue="1">
      <formula>AND(COUNTA($B89:$G89)&lt;&gt;0,COUNTA($B90:$G90)&lt;&gt;0)</formula>
    </cfRule>
    <cfRule type="expression" dxfId="0" priority="48" stopIfTrue="1">
      <formula>AND(COUNTA($B89:$G89)&lt;&gt;0,COUNTA($B90:$G90)=0)</formula>
    </cfRule>
  </conditionalFormatting>
  <conditionalFormatting sqref="A92:D92 A105:D105 A118:D118 A131 A155:D155 A172:D172 A185:D185 A198:D198 A95:D95 A108:B108 A121 A134 A146:D146 A175:D175 A188:D188 A201:D201 A98:D98 A111:D111 A124 A137:D137 A148:D148 A160:D160 A178:D178 A191:D191 A204:D204 D108">
    <cfRule type="expression" dxfId="1" priority="47" stopIfTrue="1">
      <formula>AND(COUNTA($B91:$G91)&lt;&gt;0,COUNTA($B92:$G92)&lt;&gt;0)</formula>
    </cfRule>
    <cfRule type="expression" dxfId="0" priority="46" stopIfTrue="1">
      <formula>AND(COUNTA($B91:$G91)&lt;&gt;0,COUNTA($B92:$G92)=0)</formula>
    </cfRule>
  </conditionalFormatting>
  <conditionalFormatting sqref="B119:D119 B121:D121 B123:D123 B125:D125 B127:D127 B129:D129 B131:D131 B133:D133 B135:D135">
    <cfRule type="expression" dxfId="1" priority="15" stopIfTrue="1">
      <formula>AND(COUNTA($B117:$G117)&lt;&gt;0,COUNTA($B119:$G119)&lt;&gt;0)</formula>
    </cfRule>
    <cfRule type="expression" dxfId="0" priority="14" stopIfTrue="1">
      <formula>AND(COUNTA($B117:$G117)&lt;&gt;0,COUNTA($B119:$G119)=0)</formula>
    </cfRule>
  </conditionalFormatting>
  <conditionalFormatting sqref="C119:D119 C121:D121 C123:D123 C125:D125 C127:D127 C129:D129 C131:D131 C133:D133 C135:D135">
    <cfRule type="duplicateValues" dxfId="4" priority="13" stopIfTrue="1"/>
  </conditionalFormatting>
  <conditionalFormatting sqref="B120:D120 B122:D122 B124:D124 B126:D126 B128:D128 B130:D130 B132:D132 B134:D134">
    <cfRule type="expression" dxfId="1" priority="18" stopIfTrue="1">
      <formula>AND(COUNTA($B118:$G118)&lt;&gt;0,COUNTA($B120:$G120)&lt;&gt;0)</formula>
    </cfRule>
    <cfRule type="expression" dxfId="0" priority="17" stopIfTrue="1">
      <formula>AND(COUNTA($B118:$G118)&lt;&gt;0,COUNTA($B120:$G120)=0)</formula>
    </cfRule>
  </conditionalFormatting>
  <conditionalFormatting sqref="C120:D120 C122:D122 C124:D124 C126:D126 C128:D128 C130:D130 C132:D132 C134:D134">
    <cfRule type="duplicateValues" dxfId="4" priority="16" stopIfTrue="1"/>
  </conditionalFormatting>
  <conditionalFormatting sqref="A216:D896">
    <cfRule type="expression" dxfId="1" priority="3" stopIfTrue="1">
      <formula>AND(COUNTA($B215:$G215)&lt;&gt;0,COUNTA($B216:$G216)&lt;&gt;0)</formula>
    </cfRule>
    <cfRule type="expression" dxfId="0" priority="2" stopIfTrue="1">
      <formula>AND(COUNTA($B215:$G215)&lt;&gt;0,COUNTA($B216:$G216)=0)</formula>
    </cfRule>
  </conditionalFormatting>
  <conditionalFormatting sqref="C216:D896">
    <cfRule type="duplicateValues" dxfId="4" priority="1" stopIfTrue="1"/>
  </conditionalFormatting>
  <conditionalFormatting sqref="E216:F896">
    <cfRule type="expression" dxfId="1" priority="5" stopIfTrue="1">
      <formula>AND(COUNTA($B215:$G215)&lt;&gt;0,COUNTA($B216:$G216)&lt;&gt;0)</formula>
    </cfRule>
    <cfRule type="expression" dxfId="0" priority="4" stopIfTrue="1">
      <formula>AND(COUNTA($B215:$G215)&lt;&gt;0,COUNTA($B216:$G216)=0)</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X204"/>
  <sheetViews>
    <sheetView workbookViewId="0">
      <selection activeCell="F3" sqref="F3"/>
    </sheetView>
  </sheetViews>
  <sheetFormatPr defaultColWidth="8.725" defaultRowHeight="13.5"/>
  <cols>
    <col min="2" max="2" width="28.625" customWidth="1"/>
    <col min="5" max="5" width="147.758333333333" customWidth="1"/>
    <col min="8" max="8" width="15" customWidth="1"/>
    <col min="46" max="46" width="26.725" customWidth="1"/>
    <col min="47" max="47" width="13" customWidth="1"/>
    <col min="52" max="52" width="10" customWidth="1"/>
    <col min="63" max="63" width="15.0916666666667" customWidth="1"/>
  </cols>
  <sheetData>
    <row r="1" s="1" customFormat="1" ht="15" spans="1:258">
      <c r="A1" s="3" t="s">
        <v>644</v>
      </c>
      <c r="B1" s="3" t="s">
        <v>645</v>
      </c>
      <c r="C1" s="3" t="s">
        <v>646</v>
      </c>
      <c r="D1" s="3" t="s">
        <v>647</v>
      </c>
      <c r="E1" s="4" t="s">
        <v>648</v>
      </c>
      <c r="F1" s="4"/>
      <c r="G1" s="4"/>
      <c r="H1" s="4"/>
      <c r="I1" s="4"/>
      <c r="J1" s="4"/>
      <c r="K1" s="4"/>
      <c r="L1" s="4"/>
      <c r="M1" s="4"/>
      <c r="N1" s="4"/>
      <c r="O1" s="4"/>
      <c r="P1" s="4"/>
      <c r="Q1" s="4"/>
      <c r="R1" s="4"/>
      <c r="S1" s="4"/>
      <c r="T1" s="4"/>
      <c r="U1" s="5"/>
      <c r="V1" s="6"/>
      <c r="W1" s="4"/>
      <c r="X1" s="4"/>
      <c r="Y1" s="4"/>
      <c r="Z1" s="4"/>
      <c r="AA1" s="4"/>
      <c r="AB1" s="4"/>
      <c r="AC1" s="4"/>
      <c r="AD1" s="4"/>
      <c r="AE1" s="4"/>
      <c r="AF1" s="4"/>
      <c r="AG1" s="4"/>
      <c r="AH1" s="4"/>
      <c r="AI1" s="7" t="s">
        <v>649</v>
      </c>
      <c r="AJ1" s="7"/>
      <c r="AK1" s="7"/>
      <c r="AL1" s="7"/>
      <c r="AM1" s="7"/>
      <c r="AN1" s="7"/>
      <c r="AO1" s="7"/>
      <c r="AP1" s="7"/>
      <c r="AQ1" s="7"/>
      <c r="AR1" s="7"/>
      <c r="AS1" s="8" t="s">
        <v>650</v>
      </c>
      <c r="AT1" s="8"/>
      <c r="AU1" s="8"/>
      <c r="AV1" s="8"/>
      <c r="AW1" s="8"/>
      <c r="AX1" s="9"/>
      <c r="AY1" s="8"/>
      <c r="AZ1" s="10" t="s">
        <v>651</v>
      </c>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1"/>
      <c r="CW1" s="12" t="s">
        <v>652</v>
      </c>
      <c r="CX1" s="12"/>
      <c r="CY1" s="12"/>
      <c r="CZ1" s="12"/>
      <c r="DA1" s="12"/>
      <c r="DB1" s="12"/>
      <c r="DC1" s="12"/>
      <c r="DD1" s="12"/>
      <c r="DE1" s="12"/>
      <c r="DF1" s="12"/>
      <c r="DG1" s="13" t="s">
        <v>653</v>
      </c>
      <c r="DH1" s="14"/>
      <c r="DI1" s="13"/>
      <c r="DJ1" s="14"/>
      <c r="DK1" s="14"/>
      <c r="DL1" s="13"/>
      <c r="DM1" s="14"/>
      <c r="DN1" s="7"/>
      <c r="DO1" s="13"/>
      <c r="DP1" s="14"/>
      <c r="DQ1" s="14"/>
      <c r="DR1" s="13"/>
      <c r="DS1" s="13"/>
      <c r="DT1" s="13"/>
      <c r="DU1" s="14"/>
      <c r="DV1" s="14"/>
      <c r="DW1" s="15" t="s">
        <v>654</v>
      </c>
      <c r="DX1" s="16"/>
      <c r="DY1" s="16"/>
      <c r="DZ1" s="16"/>
      <c r="EA1" s="15"/>
      <c r="EB1" s="16"/>
      <c r="EC1" s="15"/>
      <c r="ED1" s="15"/>
      <c r="EE1" s="15"/>
      <c r="EF1" s="17" t="s">
        <v>655</v>
      </c>
      <c r="EG1" s="17"/>
      <c r="EH1" s="17"/>
      <c r="EI1" s="17"/>
      <c r="EJ1" s="17"/>
      <c r="EK1" s="17"/>
      <c r="EL1" s="17"/>
      <c r="EM1" s="17"/>
      <c r="EN1" s="17"/>
      <c r="EO1" s="17"/>
      <c r="EP1" s="17"/>
      <c r="EQ1" s="17"/>
      <c r="ER1" s="17"/>
      <c r="ES1" s="17"/>
      <c r="ET1" s="17"/>
      <c r="EU1" s="18"/>
      <c r="EV1" s="17"/>
      <c r="EW1" s="17"/>
      <c r="EX1" s="17"/>
      <c r="EY1" s="17"/>
      <c r="EZ1" s="17"/>
      <c r="FA1" s="17"/>
      <c r="FB1" s="17"/>
      <c r="FC1" s="19"/>
      <c r="FD1" s="19"/>
      <c r="FE1" s="19"/>
      <c r="FF1" s="18"/>
      <c r="FG1" s="17"/>
      <c r="FH1" s="19"/>
      <c r="FI1" s="19"/>
      <c r="FJ1" s="17"/>
      <c r="FK1" s="18"/>
      <c r="FL1" s="17"/>
      <c r="FM1" s="18"/>
      <c r="FN1" s="17"/>
      <c r="FO1" s="17"/>
      <c r="FP1" s="17"/>
      <c r="FQ1" s="17"/>
      <c r="FR1" s="17"/>
      <c r="FS1" s="17"/>
      <c r="FT1" s="17"/>
      <c r="FU1" s="17"/>
      <c r="FV1" s="18"/>
      <c r="FW1" s="17"/>
      <c r="FX1" s="17"/>
      <c r="FY1" s="17"/>
      <c r="FZ1" s="17"/>
      <c r="GA1" s="18"/>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20" t="s">
        <v>656</v>
      </c>
      <c r="HG1" s="20"/>
      <c r="HH1" s="21"/>
      <c r="HI1" s="21"/>
      <c r="HJ1" s="21"/>
      <c r="HK1" s="21"/>
      <c r="HL1" s="22"/>
      <c r="HM1" s="23"/>
      <c r="HN1" s="23"/>
      <c r="HO1" s="23"/>
      <c r="HP1" s="20"/>
      <c r="HQ1" s="23"/>
      <c r="HR1" s="23"/>
      <c r="HS1" s="23"/>
      <c r="HT1" s="22"/>
      <c r="HU1" s="22"/>
      <c r="HV1" s="22"/>
      <c r="HW1" s="21"/>
      <c r="HX1" s="21"/>
      <c r="HY1" s="21"/>
      <c r="HZ1" s="22"/>
      <c r="IA1" s="21"/>
      <c r="IB1" s="23"/>
      <c r="IC1" s="24" t="s">
        <v>657</v>
      </c>
      <c r="ID1" s="25"/>
      <c r="IE1" s="26"/>
      <c r="IF1" s="24"/>
      <c r="IG1" s="26"/>
      <c r="IH1" s="24"/>
      <c r="II1" s="26"/>
      <c r="IJ1" s="24"/>
      <c r="IK1" s="26"/>
      <c r="IL1" s="24"/>
      <c r="IM1" s="26"/>
      <c r="IN1" s="24"/>
      <c r="IO1" s="25"/>
      <c r="IP1" s="26"/>
      <c r="IQ1" s="24"/>
      <c r="IR1" s="26"/>
      <c r="IS1" s="24"/>
      <c r="IT1" s="26"/>
      <c r="IU1" s="24"/>
      <c r="IV1" s="25"/>
      <c r="IW1" s="25"/>
      <c r="IX1" s="25"/>
    </row>
    <row r="2" s="1" customFormat="1" ht="28" customHeight="1" spans="1:258">
      <c r="A2" s="27" t="s">
        <v>658</v>
      </c>
      <c r="B2" s="27" t="s">
        <v>659</v>
      </c>
      <c r="C2" s="27" t="s">
        <v>660</v>
      </c>
      <c r="D2" s="27" t="s">
        <v>661</v>
      </c>
      <c r="E2" s="27" t="s">
        <v>662</v>
      </c>
      <c r="F2" s="27" t="s">
        <v>663</v>
      </c>
      <c r="G2" s="27" t="s">
        <v>664</v>
      </c>
      <c r="H2" s="27" t="s">
        <v>665</v>
      </c>
      <c r="I2" s="27" t="s">
        <v>666</v>
      </c>
      <c r="J2" s="27" t="s">
        <v>667</v>
      </c>
      <c r="K2" s="27" t="s">
        <v>668</v>
      </c>
      <c r="L2" s="27" t="s">
        <v>669</v>
      </c>
      <c r="M2" s="27" t="s">
        <v>670</v>
      </c>
      <c r="N2" s="27" t="s">
        <v>670</v>
      </c>
      <c r="O2" s="27" t="s">
        <v>670</v>
      </c>
      <c r="P2" s="27" t="s">
        <v>670</v>
      </c>
      <c r="Q2" s="27" t="s">
        <v>670</v>
      </c>
      <c r="R2" s="27" t="s">
        <v>671</v>
      </c>
      <c r="S2" s="27" t="s">
        <v>672</v>
      </c>
      <c r="T2" s="27" t="s">
        <v>673</v>
      </c>
      <c r="U2" s="28" t="s">
        <v>674</v>
      </c>
      <c r="V2" s="29" t="s">
        <v>675</v>
      </c>
      <c r="W2" s="27" t="s">
        <v>676</v>
      </c>
      <c r="X2" s="27" t="s">
        <v>677</v>
      </c>
      <c r="Y2" s="27" t="s">
        <v>678</v>
      </c>
      <c r="Z2" s="27" t="s">
        <v>679</v>
      </c>
      <c r="AA2" s="27" t="s">
        <v>680</v>
      </c>
      <c r="AB2" s="27" t="s">
        <v>681</v>
      </c>
      <c r="AC2" s="27" t="s">
        <v>682</v>
      </c>
      <c r="AD2" s="27" t="s">
        <v>683</v>
      </c>
      <c r="AE2" s="27" t="s">
        <v>684</v>
      </c>
      <c r="AF2" s="27" t="s">
        <v>685</v>
      </c>
      <c r="AG2" s="27" t="s">
        <v>686</v>
      </c>
      <c r="AH2" s="27" t="s">
        <v>687</v>
      </c>
      <c r="AI2" s="30" t="s">
        <v>688</v>
      </c>
      <c r="AJ2" s="30" t="s">
        <v>689</v>
      </c>
      <c r="AK2" s="30" t="s">
        <v>689</v>
      </c>
      <c r="AL2" s="30" t="s">
        <v>689</v>
      </c>
      <c r="AM2" s="30" t="s">
        <v>689</v>
      </c>
      <c r="AN2" s="30" t="s">
        <v>689</v>
      </c>
      <c r="AO2" s="30" t="s">
        <v>689</v>
      </c>
      <c r="AP2" s="30" t="s">
        <v>689</v>
      </c>
      <c r="AQ2" s="30" t="s">
        <v>689</v>
      </c>
      <c r="AR2" s="30" t="s">
        <v>690</v>
      </c>
      <c r="AS2" s="31" t="s">
        <v>691</v>
      </c>
      <c r="AT2" s="31" t="s">
        <v>692</v>
      </c>
      <c r="AU2" s="31" t="s">
        <v>693</v>
      </c>
      <c r="AV2" s="31" t="s">
        <v>694</v>
      </c>
      <c r="AW2" s="31" t="s">
        <v>695</v>
      </c>
      <c r="AX2" s="32" t="s">
        <v>696</v>
      </c>
      <c r="AY2" s="31" t="s">
        <v>697</v>
      </c>
      <c r="AZ2" s="33" t="s">
        <v>698</v>
      </c>
      <c r="BA2" s="33" t="s">
        <v>698</v>
      </c>
      <c r="BB2" s="33" t="s">
        <v>698</v>
      </c>
      <c r="BC2" s="33" t="s">
        <v>698</v>
      </c>
      <c r="BD2" s="33" t="s">
        <v>698</v>
      </c>
      <c r="BE2" s="33" t="s">
        <v>699</v>
      </c>
      <c r="BF2" s="33" t="s">
        <v>700</v>
      </c>
      <c r="BG2" s="33" t="s">
        <v>701</v>
      </c>
      <c r="BH2" s="33" t="s">
        <v>1</v>
      </c>
      <c r="BI2" s="33" t="s">
        <v>702</v>
      </c>
      <c r="BJ2" s="33" t="s">
        <v>703</v>
      </c>
      <c r="BK2" s="33" t="s">
        <v>704</v>
      </c>
      <c r="BL2" s="33" t="s">
        <v>705</v>
      </c>
      <c r="BM2" s="33" t="s">
        <v>706</v>
      </c>
      <c r="BN2" s="33" t="s">
        <v>707</v>
      </c>
      <c r="BO2" s="33" t="s">
        <v>708</v>
      </c>
      <c r="BP2" s="33" t="s">
        <v>709</v>
      </c>
      <c r="BQ2" s="33" t="s">
        <v>710</v>
      </c>
      <c r="BR2" s="33" t="s">
        <v>0</v>
      </c>
      <c r="BS2" s="33" t="s">
        <v>711</v>
      </c>
      <c r="BT2" s="33" t="s">
        <v>712</v>
      </c>
      <c r="BU2" s="33" t="s">
        <v>712</v>
      </c>
      <c r="BV2" s="33" t="s">
        <v>712</v>
      </c>
      <c r="BW2" s="33" t="s">
        <v>712</v>
      </c>
      <c r="BX2" s="33" t="s">
        <v>712</v>
      </c>
      <c r="BY2" s="33" t="s">
        <v>713</v>
      </c>
      <c r="BZ2" s="33" t="s">
        <v>714</v>
      </c>
      <c r="CA2" s="33" t="s">
        <v>715</v>
      </c>
      <c r="CB2" s="33" t="s">
        <v>716</v>
      </c>
      <c r="CC2" s="33" t="s">
        <v>717</v>
      </c>
      <c r="CD2" s="33" t="s">
        <v>718</v>
      </c>
      <c r="CE2" s="33" t="s">
        <v>719</v>
      </c>
      <c r="CF2" s="33" t="s">
        <v>719</v>
      </c>
      <c r="CG2" s="33" t="s">
        <v>719</v>
      </c>
      <c r="CH2" s="33" t="s">
        <v>719</v>
      </c>
      <c r="CI2" s="33" t="s">
        <v>719</v>
      </c>
      <c r="CJ2" s="33" t="s">
        <v>720</v>
      </c>
      <c r="CK2" s="33" t="s">
        <v>720</v>
      </c>
      <c r="CL2" s="33" t="s">
        <v>721</v>
      </c>
      <c r="CM2" s="33" t="s">
        <v>722</v>
      </c>
      <c r="CN2" s="33" t="s">
        <v>723</v>
      </c>
      <c r="CO2" s="33" t="s">
        <v>724</v>
      </c>
      <c r="CP2" s="33" t="s">
        <v>725</v>
      </c>
      <c r="CQ2" s="33" t="s">
        <v>726</v>
      </c>
      <c r="CR2" s="33" t="s">
        <v>727</v>
      </c>
      <c r="CS2" s="33" t="s">
        <v>728</v>
      </c>
      <c r="CT2" s="33" t="s">
        <v>729</v>
      </c>
      <c r="CU2" s="33" t="s">
        <v>730</v>
      </c>
      <c r="CV2" s="34" t="s">
        <v>731</v>
      </c>
      <c r="CW2" s="35" t="s">
        <v>732</v>
      </c>
      <c r="CX2" s="35" t="s">
        <v>733</v>
      </c>
      <c r="CY2" s="35" t="s">
        <v>734</v>
      </c>
      <c r="CZ2" s="35" t="s">
        <v>735</v>
      </c>
      <c r="DA2" s="35" t="s">
        <v>736</v>
      </c>
      <c r="DB2" s="35" t="s">
        <v>737</v>
      </c>
      <c r="DC2" s="35" t="s">
        <v>738</v>
      </c>
      <c r="DD2" s="35" t="s">
        <v>739</v>
      </c>
      <c r="DE2" s="35" t="s">
        <v>740</v>
      </c>
      <c r="DF2" s="35" t="s">
        <v>741</v>
      </c>
      <c r="DG2" s="36" t="s">
        <v>742</v>
      </c>
      <c r="DH2" s="37" t="s">
        <v>743</v>
      </c>
      <c r="DI2" s="36" t="s">
        <v>744</v>
      </c>
      <c r="DJ2" s="37" t="s">
        <v>745</v>
      </c>
      <c r="DK2" s="37" t="s">
        <v>746</v>
      </c>
      <c r="DL2" s="36" t="s">
        <v>747</v>
      </c>
      <c r="DM2" s="37" t="s">
        <v>748</v>
      </c>
      <c r="DN2" s="30" t="s">
        <v>749</v>
      </c>
      <c r="DO2" s="36" t="s">
        <v>750</v>
      </c>
      <c r="DP2" s="37" t="s">
        <v>751</v>
      </c>
      <c r="DQ2" s="37" t="s">
        <v>752</v>
      </c>
      <c r="DR2" s="36" t="s">
        <v>753</v>
      </c>
      <c r="DS2" s="36" t="s">
        <v>754</v>
      </c>
      <c r="DT2" s="36" t="s">
        <v>755</v>
      </c>
      <c r="DU2" s="37" t="s">
        <v>756</v>
      </c>
      <c r="DV2" s="37" t="s">
        <v>757</v>
      </c>
      <c r="DW2" s="38" t="s">
        <v>758</v>
      </c>
      <c r="DX2" s="39" t="s">
        <v>759</v>
      </c>
      <c r="DY2" s="39" t="s">
        <v>760</v>
      </c>
      <c r="DZ2" s="39" t="s">
        <v>761</v>
      </c>
      <c r="EA2" s="38" t="s">
        <v>762</v>
      </c>
      <c r="EB2" s="39" t="s">
        <v>763</v>
      </c>
      <c r="EC2" s="38" t="s">
        <v>764</v>
      </c>
      <c r="ED2" s="38" t="s">
        <v>765</v>
      </c>
      <c r="EE2" s="38" t="s">
        <v>766</v>
      </c>
      <c r="EF2" s="40" t="s">
        <v>767</v>
      </c>
      <c r="EG2" s="40" t="s">
        <v>767</v>
      </c>
      <c r="EH2" s="40" t="s">
        <v>767</v>
      </c>
      <c r="EI2" s="40" t="s">
        <v>767</v>
      </c>
      <c r="EJ2" s="40" t="s">
        <v>767</v>
      </c>
      <c r="EK2" s="40" t="s">
        <v>768</v>
      </c>
      <c r="EL2" s="40" t="s">
        <v>768</v>
      </c>
      <c r="EM2" s="40" t="s">
        <v>768</v>
      </c>
      <c r="EN2" s="40" t="s">
        <v>768</v>
      </c>
      <c r="EO2" s="40" t="s">
        <v>768</v>
      </c>
      <c r="EP2" s="40" t="s">
        <v>769</v>
      </c>
      <c r="EQ2" s="40" t="s">
        <v>770</v>
      </c>
      <c r="ER2" s="40" t="s">
        <v>771</v>
      </c>
      <c r="ES2" s="40" t="s">
        <v>772</v>
      </c>
      <c r="ET2" s="40" t="s">
        <v>773</v>
      </c>
      <c r="EU2" s="41" t="s">
        <v>774</v>
      </c>
      <c r="EV2" s="40" t="s">
        <v>775</v>
      </c>
      <c r="EW2" s="40" t="s">
        <v>776</v>
      </c>
      <c r="EX2" s="40" t="s">
        <v>777</v>
      </c>
      <c r="EY2" s="40" t="s">
        <v>778</v>
      </c>
      <c r="EZ2" s="40" t="s">
        <v>779</v>
      </c>
      <c r="FA2" s="40" t="s">
        <v>779</v>
      </c>
      <c r="FB2" s="40" t="s">
        <v>779</v>
      </c>
      <c r="FC2" s="42" t="s">
        <v>780</v>
      </c>
      <c r="FD2" s="42" t="s">
        <v>780</v>
      </c>
      <c r="FE2" s="42" t="s">
        <v>780</v>
      </c>
      <c r="FF2" s="41" t="s">
        <v>781</v>
      </c>
      <c r="FG2" s="40" t="s">
        <v>782</v>
      </c>
      <c r="FH2" s="42" t="s">
        <v>783</v>
      </c>
      <c r="FI2" s="42" t="s">
        <v>784</v>
      </c>
      <c r="FJ2" s="40" t="s">
        <v>785</v>
      </c>
      <c r="FK2" s="41" t="s">
        <v>786</v>
      </c>
      <c r="FL2" s="40" t="s">
        <v>787</v>
      </c>
      <c r="FM2" s="41" t="s">
        <v>788</v>
      </c>
      <c r="FN2" s="40" t="s">
        <v>789</v>
      </c>
      <c r="FO2" s="40" t="s">
        <v>790</v>
      </c>
      <c r="FP2" s="40" t="s">
        <v>790</v>
      </c>
      <c r="FQ2" s="40" t="s">
        <v>790</v>
      </c>
      <c r="FR2" s="40" t="s">
        <v>790</v>
      </c>
      <c r="FS2" s="40" t="s">
        <v>790</v>
      </c>
      <c r="FT2" s="40" t="s">
        <v>791</v>
      </c>
      <c r="FU2" s="40" t="s">
        <v>792</v>
      </c>
      <c r="FV2" s="41" t="s">
        <v>793</v>
      </c>
      <c r="FW2" s="40" t="s">
        <v>794</v>
      </c>
      <c r="FX2" s="40" t="s">
        <v>795</v>
      </c>
      <c r="FY2" s="40" t="s">
        <v>796</v>
      </c>
      <c r="FZ2" s="40" t="s">
        <v>797</v>
      </c>
      <c r="GA2" s="41" t="s">
        <v>798</v>
      </c>
      <c r="GB2" s="40" t="s">
        <v>799</v>
      </c>
      <c r="GC2" s="40" t="s">
        <v>800</v>
      </c>
      <c r="GD2" s="40" t="s">
        <v>800</v>
      </c>
      <c r="GE2" s="40" t="s">
        <v>800</v>
      </c>
      <c r="GF2" s="40" t="s">
        <v>801</v>
      </c>
      <c r="GG2" s="40" t="s">
        <v>802</v>
      </c>
      <c r="GH2" s="40" t="s">
        <v>803</v>
      </c>
      <c r="GI2" s="40" t="s">
        <v>803</v>
      </c>
      <c r="GJ2" s="40" t="s">
        <v>803</v>
      </c>
      <c r="GK2" s="40" t="s">
        <v>804</v>
      </c>
      <c r="GL2" s="40" t="s">
        <v>805</v>
      </c>
      <c r="GM2" s="40" t="s">
        <v>806</v>
      </c>
      <c r="GN2" s="40" t="s">
        <v>807</v>
      </c>
      <c r="GO2" s="40" t="s">
        <v>808</v>
      </c>
      <c r="GP2" s="40" t="s">
        <v>809</v>
      </c>
      <c r="GQ2" s="40" t="s">
        <v>810</v>
      </c>
      <c r="GR2" s="40" t="s">
        <v>810</v>
      </c>
      <c r="GS2" s="40" t="s">
        <v>810</v>
      </c>
      <c r="GT2" s="40" t="s">
        <v>811</v>
      </c>
      <c r="GU2" s="40" t="s">
        <v>811</v>
      </c>
      <c r="GV2" s="40" t="s">
        <v>811</v>
      </c>
      <c r="GW2" s="40" t="s">
        <v>812</v>
      </c>
      <c r="GX2" s="40" t="s">
        <v>812</v>
      </c>
      <c r="GY2" s="40" t="s">
        <v>812</v>
      </c>
      <c r="GZ2" s="40" t="s">
        <v>813</v>
      </c>
      <c r="HA2" s="40" t="s">
        <v>814</v>
      </c>
      <c r="HB2" s="40" t="s">
        <v>815</v>
      </c>
      <c r="HC2" s="40" t="s">
        <v>816</v>
      </c>
      <c r="HD2" s="40" t="s">
        <v>817</v>
      </c>
      <c r="HE2" s="40" t="s">
        <v>818</v>
      </c>
      <c r="HF2" s="43" t="s">
        <v>819</v>
      </c>
      <c r="HG2" s="43" t="s">
        <v>820</v>
      </c>
      <c r="HH2" s="44" t="s">
        <v>821</v>
      </c>
      <c r="HI2" s="44" t="s">
        <v>822</v>
      </c>
      <c r="HJ2" s="44" t="s">
        <v>823</v>
      </c>
      <c r="HK2" s="44" t="s">
        <v>824</v>
      </c>
      <c r="HL2" s="45" t="s">
        <v>825</v>
      </c>
      <c r="HM2" s="46" t="s">
        <v>826</v>
      </c>
      <c r="HN2" s="46" t="s">
        <v>827</v>
      </c>
      <c r="HO2" s="46" t="s">
        <v>828</v>
      </c>
      <c r="HP2" s="43" t="s">
        <v>829</v>
      </c>
      <c r="HQ2" s="46" t="s">
        <v>830</v>
      </c>
      <c r="HR2" s="46" t="s">
        <v>831</v>
      </c>
      <c r="HS2" s="46" t="s">
        <v>832</v>
      </c>
      <c r="HT2" s="45" t="s">
        <v>833</v>
      </c>
      <c r="HU2" s="45" t="s">
        <v>834</v>
      </c>
      <c r="HV2" s="45" t="s">
        <v>835</v>
      </c>
      <c r="HW2" s="44" t="s">
        <v>836</v>
      </c>
      <c r="HX2" s="44" t="s">
        <v>837</v>
      </c>
      <c r="HY2" s="44" t="s">
        <v>838</v>
      </c>
      <c r="HZ2" s="45" t="s">
        <v>839</v>
      </c>
      <c r="IA2" s="44" t="s">
        <v>840</v>
      </c>
      <c r="IB2" s="46" t="s">
        <v>841</v>
      </c>
      <c r="IC2" s="47" t="s">
        <v>842</v>
      </c>
      <c r="ID2" s="48" t="s">
        <v>843</v>
      </c>
      <c r="IE2" s="49" t="s">
        <v>844</v>
      </c>
      <c r="IF2" s="47" t="s">
        <v>845</v>
      </c>
      <c r="IG2" s="49" t="s">
        <v>846</v>
      </c>
      <c r="IH2" s="47" t="s">
        <v>847</v>
      </c>
      <c r="II2" s="49" t="s">
        <v>848</v>
      </c>
      <c r="IJ2" s="47" t="s">
        <v>849</v>
      </c>
      <c r="IK2" s="49" t="s">
        <v>850</v>
      </c>
      <c r="IL2" s="47" t="s">
        <v>851</v>
      </c>
      <c r="IM2" s="49" t="s">
        <v>852</v>
      </c>
      <c r="IN2" s="47" t="s">
        <v>853</v>
      </c>
      <c r="IO2" s="48" t="s">
        <v>854</v>
      </c>
      <c r="IP2" s="49" t="s">
        <v>855</v>
      </c>
      <c r="IQ2" s="47" t="s">
        <v>856</v>
      </c>
      <c r="IR2" s="49" t="s">
        <v>857</v>
      </c>
      <c r="IS2" s="47" t="s">
        <v>858</v>
      </c>
      <c r="IT2" s="49" t="s">
        <v>859</v>
      </c>
      <c r="IU2" s="47" t="s">
        <v>860</v>
      </c>
      <c r="IV2" s="48" t="s">
        <v>861</v>
      </c>
      <c r="IW2" s="48" t="s">
        <v>862</v>
      </c>
      <c r="IX2" s="48" t="s">
        <v>863</v>
      </c>
    </row>
    <row r="3" s="1" customFormat="1" ht="15" spans="1:258">
      <c r="A3" s="30" t="s">
        <v>864</v>
      </c>
      <c r="B3" s="30" t="s">
        <v>865</v>
      </c>
      <c r="C3" s="30" t="s">
        <v>866</v>
      </c>
      <c r="D3" s="30" t="s">
        <v>867</v>
      </c>
      <c r="E3" s="30" t="s">
        <v>868</v>
      </c>
      <c r="F3" s="27" t="s">
        <v>869</v>
      </c>
      <c r="G3" s="27" t="s">
        <v>870</v>
      </c>
      <c r="H3" s="30" t="s">
        <v>871</v>
      </c>
      <c r="I3" s="30" t="s">
        <v>872</v>
      </c>
      <c r="J3" s="27" t="s">
        <v>873</v>
      </c>
      <c r="K3" s="27" t="s">
        <v>874</v>
      </c>
      <c r="L3" s="27" t="s">
        <v>875</v>
      </c>
      <c r="M3" s="30" t="s">
        <v>876</v>
      </c>
      <c r="N3" s="27" t="s">
        <v>877</v>
      </c>
      <c r="O3" s="27" t="s">
        <v>878</v>
      </c>
      <c r="P3" s="27" t="s">
        <v>879</v>
      </c>
      <c r="Q3" s="27" t="s">
        <v>880</v>
      </c>
      <c r="R3" s="27" t="s">
        <v>881</v>
      </c>
      <c r="S3" s="27" t="s">
        <v>882</v>
      </c>
      <c r="T3" s="27" t="s">
        <v>883</v>
      </c>
      <c r="U3" s="50" t="s">
        <v>884</v>
      </c>
      <c r="V3" s="51" t="s">
        <v>885</v>
      </c>
      <c r="W3" s="30" t="s">
        <v>886</v>
      </c>
      <c r="X3" s="30" t="s">
        <v>887</v>
      </c>
      <c r="Y3" s="30" t="s">
        <v>888</v>
      </c>
      <c r="Z3" s="30" t="s">
        <v>889</v>
      </c>
      <c r="AA3" s="30" t="s">
        <v>890</v>
      </c>
      <c r="AB3" s="27" t="s">
        <v>891</v>
      </c>
      <c r="AC3" s="27" t="s">
        <v>892</v>
      </c>
      <c r="AD3" s="27" t="s">
        <v>893</v>
      </c>
      <c r="AE3" s="27" t="s">
        <v>894</v>
      </c>
      <c r="AF3" s="27" t="s">
        <v>895</v>
      </c>
      <c r="AG3" s="30" t="s">
        <v>896</v>
      </c>
      <c r="AH3" s="30" t="s">
        <v>897</v>
      </c>
      <c r="AI3" s="30" t="s">
        <v>898</v>
      </c>
      <c r="AJ3" s="30" t="s">
        <v>899</v>
      </c>
      <c r="AK3" s="30" t="s">
        <v>900</v>
      </c>
      <c r="AL3" s="30" t="s">
        <v>901</v>
      </c>
      <c r="AM3" s="30" t="s">
        <v>902</v>
      </c>
      <c r="AN3" s="30" t="s">
        <v>903</v>
      </c>
      <c r="AO3" s="30" t="s">
        <v>904</v>
      </c>
      <c r="AP3" s="30" t="s">
        <v>905</v>
      </c>
      <c r="AQ3" s="30" t="s">
        <v>906</v>
      </c>
      <c r="AR3" s="30" t="s">
        <v>907</v>
      </c>
      <c r="AS3" s="31" t="s">
        <v>908</v>
      </c>
      <c r="AT3" s="31" t="s">
        <v>909</v>
      </c>
      <c r="AU3" s="31" t="s">
        <v>910</v>
      </c>
      <c r="AV3" s="31" t="s">
        <v>88</v>
      </c>
      <c r="AW3" s="31" t="s">
        <v>911</v>
      </c>
      <c r="AX3" s="32" t="s">
        <v>696</v>
      </c>
      <c r="AY3" s="31" t="s">
        <v>697</v>
      </c>
      <c r="AZ3" s="33" t="s">
        <v>93</v>
      </c>
      <c r="BA3" s="33" t="s">
        <v>95</v>
      </c>
      <c r="BB3" s="33" t="s">
        <v>97</v>
      </c>
      <c r="BC3" s="33" t="s">
        <v>99</v>
      </c>
      <c r="BD3" s="33" t="s">
        <v>101</v>
      </c>
      <c r="BE3" s="33" t="s">
        <v>912</v>
      </c>
      <c r="BF3" s="33" t="s">
        <v>913</v>
      </c>
      <c r="BG3" s="33" t="s">
        <v>914</v>
      </c>
      <c r="BH3" s="30" t="s">
        <v>915</v>
      </c>
      <c r="BI3" s="30" t="s">
        <v>916</v>
      </c>
      <c r="BJ3" s="33" t="s">
        <v>917</v>
      </c>
      <c r="BK3" s="30" t="s">
        <v>918</v>
      </c>
      <c r="BL3" s="30" t="s">
        <v>919</v>
      </c>
      <c r="BM3" s="33" t="s">
        <v>920</v>
      </c>
      <c r="BN3" s="33" t="s">
        <v>921</v>
      </c>
      <c r="BO3" s="30" t="s">
        <v>922</v>
      </c>
      <c r="BP3" s="33" t="s">
        <v>923</v>
      </c>
      <c r="BQ3" s="33" t="s">
        <v>924</v>
      </c>
      <c r="BR3" s="30" t="s">
        <v>925</v>
      </c>
      <c r="BS3" s="33" t="s">
        <v>926</v>
      </c>
      <c r="BT3" s="33" t="s">
        <v>927</v>
      </c>
      <c r="BU3" s="33" t="s">
        <v>928</v>
      </c>
      <c r="BV3" s="33" t="s">
        <v>929</v>
      </c>
      <c r="BW3" s="33" t="s">
        <v>930</v>
      </c>
      <c r="BX3" s="33" t="s">
        <v>931</v>
      </c>
      <c r="BY3" s="33" t="s">
        <v>932</v>
      </c>
      <c r="BZ3" s="33" t="s">
        <v>714</v>
      </c>
      <c r="CA3" s="33" t="s">
        <v>933</v>
      </c>
      <c r="CB3" s="33" t="s">
        <v>934</v>
      </c>
      <c r="CC3" s="33" t="s">
        <v>935</v>
      </c>
      <c r="CD3" s="33" t="s">
        <v>936</v>
      </c>
      <c r="CE3" s="33" t="s">
        <v>937</v>
      </c>
      <c r="CF3" s="33" t="s">
        <v>938</v>
      </c>
      <c r="CG3" s="33" t="s">
        <v>939</v>
      </c>
      <c r="CH3" s="33" t="s">
        <v>940</v>
      </c>
      <c r="CI3" s="33" t="s">
        <v>941</v>
      </c>
      <c r="CJ3" s="33" t="s">
        <v>942</v>
      </c>
      <c r="CK3" s="33" t="s">
        <v>943</v>
      </c>
      <c r="CL3" s="33" t="s">
        <v>944</v>
      </c>
      <c r="CM3" s="33" t="s">
        <v>945</v>
      </c>
      <c r="CN3" s="33" t="s">
        <v>946</v>
      </c>
      <c r="CO3" s="33" t="s">
        <v>947</v>
      </c>
      <c r="CP3" s="33" t="s">
        <v>948</v>
      </c>
      <c r="CQ3" s="33" t="s">
        <v>949</v>
      </c>
      <c r="CR3" s="33" t="s">
        <v>950</v>
      </c>
      <c r="CS3" s="33" t="s">
        <v>951</v>
      </c>
      <c r="CT3" s="33" t="s">
        <v>952</v>
      </c>
      <c r="CU3" s="33" t="s">
        <v>953</v>
      </c>
      <c r="CV3" s="34" t="s">
        <v>954</v>
      </c>
      <c r="CW3" s="35" t="s">
        <v>955</v>
      </c>
      <c r="CX3" s="35" t="s">
        <v>956</v>
      </c>
      <c r="CY3" s="30" t="s">
        <v>957</v>
      </c>
      <c r="CZ3" s="35" t="s">
        <v>958</v>
      </c>
      <c r="DA3" s="35" t="s">
        <v>959</v>
      </c>
      <c r="DB3" s="35" t="s">
        <v>960</v>
      </c>
      <c r="DC3" s="35" t="s">
        <v>961</v>
      </c>
      <c r="DD3" s="35" t="s">
        <v>962</v>
      </c>
      <c r="DE3" s="35" t="s">
        <v>963</v>
      </c>
      <c r="DF3" s="35" t="s">
        <v>741</v>
      </c>
      <c r="DG3" s="50" t="s">
        <v>964</v>
      </c>
      <c r="DH3" s="30" t="s">
        <v>965</v>
      </c>
      <c r="DI3" s="36" t="s">
        <v>966</v>
      </c>
      <c r="DJ3" s="37" t="s">
        <v>967</v>
      </c>
      <c r="DK3" s="37" t="s">
        <v>968</v>
      </c>
      <c r="DL3" s="36" t="s">
        <v>969</v>
      </c>
      <c r="DM3" s="37" t="s">
        <v>970</v>
      </c>
      <c r="DN3" s="30" t="s">
        <v>971</v>
      </c>
      <c r="DO3" s="36" t="s">
        <v>972</v>
      </c>
      <c r="DP3" s="37" t="s">
        <v>973</v>
      </c>
      <c r="DQ3" s="37" t="s">
        <v>974</v>
      </c>
      <c r="DR3" s="36" t="s">
        <v>975</v>
      </c>
      <c r="DS3" s="36" t="s">
        <v>976</v>
      </c>
      <c r="DT3" s="36" t="s">
        <v>977</v>
      </c>
      <c r="DU3" s="37" t="s">
        <v>978</v>
      </c>
      <c r="DV3" s="37" t="s">
        <v>979</v>
      </c>
      <c r="DW3" s="30" t="s">
        <v>980</v>
      </c>
      <c r="DX3" s="39" t="s">
        <v>981</v>
      </c>
      <c r="DY3" s="39" t="s">
        <v>982</v>
      </c>
      <c r="DZ3" s="39" t="s">
        <v>983</v>
      </c>
      <c r="EA3" s="38" t="s">
        <v>984</v>
      </c>
      <c r="EB3" s="39" t="s">
        <v>985</v>
      </c>
      <c r="EC3" s="38" t="s">
        <v>986</v>
      </c>
      <c r="ED3" s="38" t="s">
        <v>987</v>
      </c>
      <c r="EE3" s="38" t="s">
        <v>988</v>
      </c>
      <c r="EF3" s="40" t="s">
        <v>989</v>
      </c>
      <c r="EG3" s="40" t="s">
        <v>990</v>
      </c>
      <c r="EH3" s="40" t="s">
        <v>991</v>
      </c>
      <c r="EI3" s="40" t="s">
        <v>992</v>
      </c>
      <c r="EJ3" s="40" t="s">
        <v>993</v>
      </c>
      <c r="EK3" s="40" t="s">
        <v>994</v>
      </c>
      <c r="EL3" s="40" t="s">
        <v>995</v>
      </c>
      <c r="EM3" s="40" t="s">
        <v>996</v>
      </c>
      <c r="EN3" s="40" t="s">
        <v>997</v>
      </c>
      <c r="EO3" s="40" t="s">
        <v>998</v>
      </c>
      <c r="EP3" s="40" t="s">
        <v>999</v>
      </c>
      <c r="EQ3" s="40" t="s">
        <v>1000</v>
      </c>
      <c r="ER3" s="30" t="s">
        <v>1001</v>
      </c>
      <c r="ES3" s="30" t="s">
        <v>1002</v>
      </c>
      <c r="ET3" s="40" t="s">
        <v>1003</v>
      </c>
      <c r="EU3" s="41" t="s">
        <v>1004</v>
      </c>
      <c r="EV3" s="40" t="s">
        <v>1005</v>
      </c>
      <c r="EW3" s="40" t="s">
        <v>1006</v>
      </c>
      <c r="EX3" s="40" t="s">
        <v>1007</v>
      </c>
      <c r="EY3" s="40" t="s">
        <v>1008</v>
      </c>
      <c r="EZ3" s="40" t="s">
        <v>1009</v>
      </c>
      <c r="FA3" s="40" t="s">
        <v>1010</v>
      </c>
      <c r="FB3" s="40" t="s">
        <v>1011</v>
      </c>
      <c r="FC3" s="42" t="s">
        <v>1012</v>
      </c>
      <c r="FD3" s="42" t="s">
        <v>1013</v>
      </c>
      <c r="FE3" s="42" t="s">
        <v>1014</v>
      </c>
      <c r="FF3" s="41" t="s">
        <v>1015</v>
      </c>
      <c r="FG3" s="40" t="s">
        <v>1016</v>
      </c>
      <c r="FH3" s="42" t="s">
        <v>1017</v>
      </c>
      <c r="FI3" s="42" t="s">
        <v>1018</v>
      </c>
      <c r="FJ3" s="40" t="s">
        <v>1019</v>
      </c>
      <c r="FK3" s="41" t="s">
        <v>1020</v>
      </c>
      <c r="FL3" s="40" t="s">
        <v>1021</v>
      </c>
      <c r="FM3" s="41" t="s">
        <v>1022</v>
      </c>
      <c r="FN3" s="40" t="s">
        <v>1023</v>
      </c>
      <c r="FO3" s="40" t="s">
        <v>1024</v>
      </c>
      <c r="FP3" s="40" t="s">
        <v>1025</v>
      </c>
      <c r="FQ3" s="40" t="s">
        <v>1026</v>
      </c>
      <c r="FR3" s="40" t="s">
        <v>1027</v>
      </c>
      <c r="FS3" s="40" t="s">
        <v>1028</v>
      </c>
      <c r="FT3" s="40" t="s">
        <v>1029</v>
      </c>
      <c r="FU3" s="40" t="s">
        <v>1030</v>
      </c>
      <c r="FV3" s="41" t="s">
        <v>1031</v>
      </c>
      <c r="FW3" s="40" t="s">
        <v>794</v>
      </c>
      <c r="FX3" s="40" t="s">
        <v>795</v>
      </c>
      <c r="FY3" s="40" t="s">
        <v>1032</v>
      </c>
      <c r="FZ3" s="40" t="s">
        <v>1033</v>
      </c>
      <c r="GA3" s="41" t="s">
        <v>1034</v>
      </c>
      <c r="GB3" s="40" t="s">
        <v>1035</v>
      </c>
      <c r="GC3" s="40" t="s">
        <v>1036</v>
      </c>
      <c r="GD3" s="40" t="s">
        <v>1037</v>
      </c>
      <c r="GE3" s="40" t="s">
        <v>1038</v>
      </c>
      <c r="GF3" s="40" t="s">
        <v>1039</v>
      </c>
      <c r="GG3" s="40" t="s">
        <v>1040</v>
      </c>
      <c r="GH3" s="40" t="s">
        <v>1041</v>
      </c>
      <c r="GI3" s="40" t="s">
        <v>1042</v>
      </c>
      <c r="GJ3" s="40" t="s">
        <v>1043</v>
      </c>
      <c r="GK3" s="40" t="s">
        <v>1044</v>
      </c>
      <c r="GL3" s="40" t="s">
        <v>1045</v>
      </c>
      <c r="GM3" s="40" t="s">
        <v>1046</v>
      </c>
      <c r="GN3" s="40" t="s">
        <v>1047</v>
      </c>
      <c r="GO3" s="40" t="s">
        <v>1048</v>
      </c>
      <c r="GP3" s="40" t="s">
        <v>1049</v>
      </c>
      <c r="GQ3" s="40" t="s">
        <v>1050</v>
      </c>
      <c r="GR3" s="40" t="s">
        <v>1051</v>
      </c>
      <c r="GS3" s="40" t="s">
        <v>1052</v>
      </c>
      <c r="GT3" s="40" t="s">
        <v>1053</v>
      </c>
      <c r="GU3" s="40" t="s">
        <v>1054</v>
      </c>
      <c r="GV3" s="40" t="s">
        <v>1055</v>
      </c>
      <c r="GW3" s="40" t="s">
        <v>1056</v>
      </c>
      <c r="GX3" s="40" t="s">
        <v>1057</v>
      </c>
      <c r="GY3" s="40" t="s">
        <v>1058</v>
      </c>
      <c r="GZ3" s="40" t="s">
        <v>1059</v>
      </c>
      <c r="HA3" s="40" t="s">
        <v>1060</v>
      </c>
      <c r="HB3" s="40" t="s">
        <v>1061</v>
      </c>
      <c r="HC3" s="40" t="s">
        <v>1062</v>
      </c>
      <c r="HD3" s="40" t="s">
        <v>1063</v>
      </c>
      <c r="HE3" s="40" t="s">
        <v>1064</v>
      </c>
      <c r="HF3" s="50" t="s">
        <v>1065</v>
      </c>
      <c r="HG3" s="50" t="s">
        <v>1066</v>
      </c>
      <c r="HH3" s="30" t="s">
        <v>1067</v>
      </c>
      <c r="HI3" s="30" t="s">
        <v>1068</v>
      </c>
      <c r="HJ3" s="44" t="s">
        <v>1069</v>
      </c>
      <c r="HK3" s="44" t="s">
        <v>1070</v>
      </c>
      <c r="HL3" s="51" t="s">
        <v>1071</v>
      </c>
      <c r="HM3" s="46" t="s">
        <v>1072</v>
      </c>
      <c r="HN3" s="46" t="s">
        <v>1073</v>
      </c>
      <c r="HO3" s="46" t="s">
        <v>1074</v>
      </c>
      <c r="HP3" s="43" t="s">
        <v>1075</v>
      </c>
      <c r="HQ3" s="46" t="s">
        <v>1076</v>
      </c>
      <c r="HR3" s="46" t="s">
        <v>1077</v>
      </c>
      <c r="HS3" s="46" t="s">
        <v>1078</v>
      </c>
      <c r="HT3" s="45" t="s">
        <v>1079</v>
      </c>
      <c r="HU3" s="45" t="s">
        <v>1080</v>
      </c>
      <c r="HV3" s="45" t="s">
        <v>1081</v>
      </c>
      <c r="HW3" s="44" t="s">
        <v>1082</v>
      </c>
      <c r="HX3" s="44" t="s">
        <v>1083</v>
      </c>
      <c r="HY3" s="44" t="s">
        <v>1084</v>
      </c>
      <c r="HZ3" s="45" t="s">
        <v>1085</v>
      </c>
      <c r="IA3" s="44" t="s">
        <v>1086</v>
      </c>
      <c r="IB3" s="46" t="s">
        <v>1087</v>
      </c>
      <c r="IC3" s="47" t="s">
        <v>1088</v>
      </c>
      <c r="ID3" s="48" t="s">
        <v>1089</v>
      </c>
      <c r="IE3" s="49" t="s">
        <v>1090</v>
      </c>
      <c r="IF3" s="47" t="s">
        <v>1091</v>
      </c>
      <c r="IG3" s="49" t="s">
        <v>1092</v>
      </c>
      <c r="IH3" s="47" t="s">
        <v>1093</v>
      </c>
      <c r="II3" s="49" t="s">
        <v>1094</v>
      </c>
      <c r="IJ3" s="47" t="s">
        <v>1095</v>
      </c>
      <c r="IK3" s="49" t="s">
        <v>1096</v>
      </c>
      <c r="IL3" s="47" t="s">
        <v>1097</v>
      </c>
      <c r="IM3" s="49" t="s">
        <v>1098</v>
      </c>
      <c r="IN3" s="47" t="s">
        <v>1099</v>
      </c>
      <c r="IO3" s="48" t="s">
        <v>1100</v>
      </c>
      <c r="IP3" s="49" t="s">
        <v>1101</v>
      </c>
      <c r="IQ3" s="47" t="s">
        <v>1102</v>
      </c>
      <c r="IR3" s="49" t="s">
        <v>1103</v>
      </c>
      <c r="IS3" s="47" t="s">
        <v>1104</v>
      </c>
      <c r="IT3" s="49" t="s">
        <v>1105</v>
      </c>
      <c r="IU3" s="47" t="s">
        <v>1106</v>
      </c>
      <c r="IV3" s="48" t="s">
        <v>1107</v>
      </c>
      <c r="IW3" s="48" t="s">
        <v>1108</v>
      </c>
      <c r="IX3" s="48" t="s">
        <v>1109</v>
      </c>
    </row>
    <row r="4" spans="1:258">
      <c r="A4" t="str">
        <f>IF(B4="","",step01标题尺码信息!$B$3)</f>
        <v/>
      </c>
      <c r="B4" t="str">
        <f>IF(step01标题尺码信息!G6="","",step01标题尺码信息!G6)</f>
        <v/>
      </c>
      <c r="C4" t="str">
        <f>IF(B4="","",step01标题尺码信息!$E$3)</f>
        <v/>
      </c>
      <c r="D4" t="str">
        <f>IF(B4="","","Update")</f>
        <v/>
      </c>
      <c r="E4" t="str">
        <f ca="1">IF(B4="","",VLOOKUP(B4,step01标题尺码信息!G:P,4,0))</f>
        <v/>
      </c>
      <c r="H4" t="str">
        <f>IF(B4="","",step01标题尺码信息!$R$19)</f>
        <v/>
      </c>
      <c r="I4" t="str">
        <f>IF(B4="","","novelty-t-shirts")</f>
        <v/>
      </c>
      <c r="M4" t="str">
        <f>IF(B4="","","Synthetic")</f>
        <v/>
      </c>
      <c r="U4" t="str">
        <f>IF(B4="","",step01标题尺码信息!$S$1)</f>
        <v/>
      </c>
      <c r="V4" t="str">
        <f>IF(B4="","",1000)</f>
        <v/>
      </c>
      <c r="W4" t="str">
        <f>IF(B4="","",step01标题尺码信息!$V$1)</f>
        <v/>
      </c>
      <c r="X4" t="str">
        <f>IF(B4="","",step01标题尺码信息!$V$2)</f>
        <v/>
      </c>
      <c r="AS4" t="s">
        <v>1110</v>
      </c>
      <c r="AU4" t="s">
        <v>650</v>
      </c>
      <c r="AV4" t="str">
        <f>IF(B4="","",step01标题尺码信息!$T$36)</f>
        <v/>
      </c>
      <c r="AZ4" t="str">
        <f>IF(B4="","",step01标题尺码信息!$S$41)</f>
        <v/>
      </c>
      <c r="BA4" t="str">
        <f>IF(B4="","",step01标题尺码信息!$S$43)</f>
        <v/>
      </c>
      <c r="BB4" t="str">
        <f>IF(B4="","",step01标题尺码信息!$S$45)</f>
        <v/>
      </c>
      <c r="BC4" t="str">
        <f>IF(B4="","",step01标题尺码信息!$S$47)</f>
        <v/>
      </c>
      <c r="BD4" t="str">
        <f>IF(B4="","",step01标题尺码信息!$S$49)</f>
        <v/>
      </c>
      <c r="BE4" t="str">
        <f>IF(B4="","",step01标题尺码信息!$S$53)</f>
        <v/>
      </c>
      <c r="BH4" t="str">
        <f ca="1">IF(B4="","",IF(DX4="Parent","",VLOOKUP(B4,step01标题尺码信息!G:P,7,0)))</f>
        <v/>
      </c>
      <c r="BI4" t="str">
        <f ca="1">IF(B4="","",IF(DX4="Parent","",VLOOKUP(B4,step01标题尺码信息!G:P,8,0)))</f>
        <v/>
      </c>
      <c r="BK4" t="str">
        <f>IF(B4="","","Unisex Adult")</f>
        <v/>
      </c>
      <c r="BL4" t="str">
        <f>IF(B4="","","Regular")</f>
        <v/>
      </c>
      <c r="BO4" t="str">
        <f>IF(B4="","","Crewneck")</f>
        <v/>
      </c>
      <c r="BR4" t="str">
        <f ca="1">IF(B4="","",IF(AS4="Parent","",VLOOKUP(B4,step01标题尺码信息!G:P,9,0)))</f>
        <v/>
      </c>
      <c r="CY4" t="str">
        <f>IF(B4="","","Short Sleeve")</f>
        <v/>
      </c>
      <c r="DG4" t="str">
        <f>IF(B4="","",step01标题尺码信息!$T$30)</f>
        <v/>
      </c>
      <c r="DH4" t="str">
        <f>IF(B4="","","KG")</f>
        <v/>
      </c>
      <c r="DN4" t="str">
        <f ca="1">BR4</f>
        <v/>
      </c>
      <c r="DW4" t="str">
        <f>IF(B4="","","DEFAULT")</f>
        <v/>
      </c>
      <c r="ER4" t="str">
        <f>IF(B4="","",step01标题尺码信息!$T$37)</f>
        <v/>
      </c>
      <c r="ES4" t="str">
        <f>IF(B4="","","Imported")</f>
        <v/>
      </c>
      <c r="HF4" t="str">
        <f>IF(B4="","",step01标题尺码信息!$S$2)</f>
        <v/>
      </c>
      <c r="HH4" t="str">
        <f>IF(B4="","","USD")</f>
        <v/>
      </c>
      <c r="HI4" t="str">
        <f>IF(B4="","","NEW")</f>
        <v/>
      </c>
      <c r="HL4" t="str">
        <f>IF(B4="","","10")</f>
        <v/>
      </c>
      <c r="IA4" t="str">
        <f>IF(B4="","","Migrated Template")</f>
        <v/>
      </c>
    </row>
    <row r="5" spans="1:258">
      <c r="A5" t="str">
        <f>IF(B5="","",step01标题尺码信息!$B$3)</f>
        <v/>
      </c>
      <c r="B5" t="str">
        <f>IF(step01标题尺码信息!G7="","",step01标题尺码信息!G7)</f>
        <v/>
      </c>
      <c r="C5" t="str">
        <f>IF(B5="","",step01标题尺码信息!$E$3)</f>
        <v/>
      </c>
      <c r="D5" t="str">
        <f t="shared" ref="D5:D36" si="0">IF(B5="","","Update")</f>
        <v/>
      </c>
      <c r="E5" t="str">
        <f ca="1">IF(B5="","",VLOOKUP(B5,step01标题尺码信息!G:P,4,0))</f>
        <v/>
      </c>
      <c r="H5" t="str">
        <f>IF(B5="","",step01标题尺码信息!$R$19)</f>
        <v/>
      </c>
      <c r="I5" t="str">
        <f t="shared" ref="I5:I36" si="1">IF(B5="","","novelty-t-shirts")</f>
        <v/>
      </c>
      <c r="M5" t="str">
        <f t="shared" ref="M5:M36" si="2">IF(B5="","","Synthetic")</f>
        <v/>
      </c>
      <c r="U5" t="str">
        <f>IF(B5="","",step01标题尺码信息!$S$1)</f>
        <v/>
      </c>
      <c r="V5" t="str">
        <f t="shared" ref="V5:V36" si="3">IF(B5="","",1000)</f>
        <v/>
      </c>
      <c r="W5" t="str">
        <f>IF(B5="","",step01标题尺码信息!$V$1)</f>
        <v/>
      </c>
      <c r="X5" t="str">
        <f>IF(B5="","",step01标题尺码信息!$V$2)</f>
        <v/>
      </c>
      <c r="Y5" t="str">
        <f t="shared" ref="Y5:Y36" si="4">IF(B5="","","US")</f>
        <v/>
      </c>
      <c r="Z5" t="str">
        <f t="shared" ref="Z5:Z36" si="5">IF(B5="","","Alpha")</f>
        <v/>
      </c>
      <c r="AA5" t="str">
        <f ca="1">IF(B5="","",IF(CB5="Parent","",VLOOKUP(B5,step01标题尺码信息!G:P,9,0)))</f>
        <v/>
      </c>
      <c r="AG5" t="str">
        <f>IF(B5="","","Regular")</f>
        <v/>
      </c>
      <c r="AH5" t="str">
        <f>IF(B5="","","Regular")</f>
        <v/>
      </c>
      <c r="AI5" t="str">
        <f ca="1">IF(OR(B5="",VLOOKUP(BH5,step02图片链接!B:E,4,0)=""),"",VLOOKUP(BH5,step02图片链接!B:E,4,0))</f>
        <v/>
      </c>
      <c r="AJ5" t="str">
        <f ca="1">IF(OR(B5="",VLOOKUP(BH5,step02图片链接!B:G,6,0)=""),"",VLOOKUP(BH5,step02图片链接!B:G,6,0))</f>
        <v/>
      </c>
      <c r="AK5" t="str">
        <f ca="1">IF(OR(B5="",VLOOKUP(BH5,step02图片链接!B:H,7,0)=""),"",VLOOKUP(BH5,step02图片链接!B:H,7,0))</f>
        <v/>
      </c>
      <c r="AL5" t="str">
        <f ca="1">IF(OR(B5="",VLOOKUP(BH5,step02图片链接!B:I,8,0)=""),"",VLOOKUP(BH5,step02图片链接!B:I,8,0))</f>
        <v/>
      </c>
      <c r="AM5" t="str">
        <f ca="1">IF(OR(B5="",VLOOKUP(BH5,step02图片链接!B:J,9,0)=""),"",VLOOKUP(BH5,step02图片链接!B:J,9,0))</f>
        <v/>
      </c>
      <c r="AN5" t="str">
        <f ca="1">IF(OR(B5="",VLOOKUP(BH5,step02图片链接!B:K,10,0)=""),"",VLOOKUP(BH5,step02图片链接!B:K,10,0))</f>
        <v/>
      </c>
      <c r="AO5" t="str">
        <f ca="1">IF(OR(B5="",VLOOKUP(BH5,step02图片链接!B:L,11,0)=""),"",VLOOKUP(BH5,step02图片链接!B:L,11,0))</f>
        <v/>
      </c>
      <c r="AP5" t="str">
        <f ca="1">IF(OR(B5="",VLOOKUP(BH5,step02图片链接!B:M,12,0)=""),"",VLOOKUP(BH5,step02图片链接!B:M,12,0))</f>
        <v/>
      </c>
      <c r="AQ5" t="str">
        <f ca="1">IF(OR(B5="",VLOOKUP(BH5,step02图片链接!B:N,13,0)=""),"",VLOOKUP(BH5,step02图片链接!B:N,13,0))</f>
        <v/>
      </c>
      <c r="AS5" t="str">
        <f>IF(AT5="","","Child")</f>
        <v/>
      </c>
      <c r="AT5" t="str">
        <f>IF(B5="","",$B$4)</f>
        <v/>
      </c>
      <c r="AU5" t="str">
        <f t="shared" ref="AU5:AU36" si="6">IF(AT5="","","Variation")</f>
        <v/>
      </c>
      <c r="AV5" t="str">
        <f>IF(B5="","",step01标题尺码信息!$T$36)</f>
        <v/>
      </c>
      <c r="AZ5" t="str">
        <f>IF(B5="","",step01标题尺码信息!$S$41)</f>
        <v/>
      </c>
      <c r="BA5" t="str">
        <f>IF(B5="","",step01标题尺码信息!$S$43)</f>
        <v/>
      </c>
      <c r="BB5" t="str">
        <f>IF(B5="","",step01标题尺码信息!$S$45)</f>
        <v/>
      </c>
      <c r="BC5" t="str">
        <f>IF(B5="","",step01标题尺码信息!$S$47)</f>
        <v/>
      </c>
      <c r="BD5" t="str">
        <f>IF(B5="","",step01标题尺码信息!$S$49)</f>
        <v/>
      </c>
      <c r="BE5" t="str">
        <f>IF(B5="","",step01标题尺码信息!$S$53)</f>
        <v/>
      </c>
      <c r="BH5" t="str">
        <f ca="1">IF(B5="","",IF(DX5="Parent","",VLOOKUP(B5,step01标题尺码信息!G:P,7,0)))</f>
        <v/>
      </c>
      <c r="BI5" t="str">
        <f ca="1">IF(B5="","",IF(DX5="Parent","",VLOOKUP(B5,step01标题尺码信息!G:P,8,0)))</f>
        <v/>
      </c>
      <c r="BK5" t="str">
        <f t="shared" ref="BK5:BK36" si="7">IF(B5="","","Unisex Adult")</f>
        <v/>
      </c>
      <c r="BL5" t="str">
        <f t="shared" ref="BL5:BL36" si="8">IF(B5="","","Regular")</f>
        <v/>
      </c>
      <c r="BO5" t="str">
        <f t="shared" ref="BO5:BO36" si="9">IF(B5="","","Crewneck")</f>
        <v/>
      </c>
      <c r="BR5" t="str">
        <f ca="1">IF(B5="","",IF(AS5="Parent","",VLOOKUP(B5,step01标题尺码信息!G:P,9,0)))</f>
        <v/>
      </c>
      <c r="CY5" t="str">
        <f t="shared" ref="CY5:CY36" si="10">IF(B5="","","Short Sleeve")</f>
        <v/>
      </c>
      <c r="DG5" t="str">
        <f>IF(B5="","",step01标题尺码信息!$T$30)</f>
        <v/>
      </c>
      <c r="DH5" t="str">
        <f t="shared" ref="DH5:DH36" si="11">IF(B5="","","KG")</f>
        <v/>
      </c>
      <c r="DN5" t="str">
        <f ca="1" t="shared" ref="DN5:DN36" si="12">BR5</f>
        <v/>
      </c>
      <c r="DW5" t="str">
        <f t="shared" ref="DW5:DW36" si="13">IF(B5="","","DEFAULT")</f>
        <v/>
      </c>
      <c r="ER5" t="str">
        <f>IF(B5="","",step01标题尺码信息!$T$37)</f>
        <v/>
      </c>
      <c r="ES5" t="str">
        <f t="shared" ref="ES5:ES36" si="14">IF(B5="","","Imported")</f>
        <v/>
      </c>
      <c r="HF5" t="str">
        <f>IF(B5="","",step01标题尺码信息!$S$2)</f>
        <v/>
      </c>
      <c r="HH5" t="str">
        <f t="shared" ref="HH5:HH36" si="15">IF(B5="","","USD")</f>
        <v/>
      </c>
      <c r="HI5" t="str">
        <f t="shared" ref="HI5:HI36" si="16">IF(B5="","","NEW")</f>
        <v/>
      </c>
      <c r="HL5" t="str">
        <f t="shared" ref="HL5:HL36" si="17">IF(B5="","","10")</f>
        <v/>
      </c>
      <c r="IA5" t="str">
        <f t="shared" ref="IA5:IA36" si="18">IF(B5="","","Migrated Template")</f>
        <v/>
      </c>
    </row>
    <row r="6" spans="1:258">
      <c r="A6" t="str">
        <f>IF(B6="","",step01标题尺码信息!$B$3)</f>
        <v/>
      </c>
      <c r="B6" t="str">
        <f>IF(step01标题尺码信息!G8="","",step01标题尺码信息!G8)</f>
        <v/>
      </c>
      <c r="C6" t="str">
        <f>IF(B6="","",step01标题尺码信息!$E$3)</f>
        <v/>
      </c>
      <c r="D6" t="str">
        <f t="shared" si="0"/>
        <v/>
      </c>
      <c r="E6" t="str">
        <f ca="1">IF(B6="","",VLOOKUP(B6,step01标题尺码信息!G:P,4,0))</f>
        <v/>
      </c>
      <c r="H6" t="str">
        <f>IF(B6="","",step01标题尺码信息!$R$19)</f>
        <v/>
      </c>
      <c r="I6" t="str">
        <f t="shared" si="1"/>
        <v/>
      </c>
      <c r="M6" t="str">
        <f t="shared" si="2"/>
        <v/>
      </c>
      <c r="U6" t="str">
        <f>IF(B6="","",step01标题尺码信息!$S$1)</f>
        <v/>
      </c>
      <c r="V6" t="str">
        <f t="shared" si="3"/>
        <v/>
      </c>
      <c r="W6" t="str">
        <f>IF(B6="","",step01标题尺码信息!$V$1)</f>
        <v/>
      </c>
      <c r="X6" t="str">
        <f>IF(B6="","",step01标题尺码信息!$V$2)</f>
        <v/>
      </c>
      <c r="Y6" t="str">
        <f t="shared" si="4"/>
        <v/>
      </c>
      <c r="Z6" t="str">
        <f t="shared" si="5"/>
        <v/>
      </c>
      <c r="AA6" t="str">
        <f ca="1">IF(B6="","",IF(CB6="Parent","",VLOOKUP(B6,step01标题尺码信息!G:P,9,0)))</f>
        <v/>
      </c>
      <c r="AG6" t="str">
        <f t="shared" ref="AG6:AG37" si="19">IF(B6="","","Regular")</f>
        <v/>
      </c>
      <c r="AH6" t="str">
        <f t="shared" ref="AH6:AH37" si="20">IF(B6="","","Regular")</f>
        <v/>
      </c>
      <c r="AI6" t="str">
        <f ca="1">IF(OR(B6="",VLOOKUP(BH6,step02图片链接!B:E,4,0)=""),"",VLOOKUP(BH6,step02图片链接!B:E,4,0))</f>
        <v/>
      </c>
      <c r="AJ6" t="str">
        <f ca="1">IF(OR(B6="",VLOOKUP(BH6,step02图片链接!B:G,6,0)=""),"",VLOOKUP(BH6,step02图片链接!B:G,6,0))</f>
        <v/>
      </c>
      <c r="AK6" t="str">
        <f ca="1">IF(OR(B6="",VLOOKUP(BH6,step02图片链接!B:H,7,0)=""),"",VLOOKUP(BH6,step02图片链接!B:H,7,0))</f>
        <v/>
      </c>
      <c r="AL6" t="str">
        <f ca="1">IF(OR(B6="",VLOOKUP(BH6,step02图片链接!B:I,8,0)=""),"",VLOOKUP(BH6,step02图片链接!B:I,8,0))</f>
        <v/>
      </c>
      <c r="AM6" t="str">
        <f ca="1">IF(OR(B6="",VLOOKUP(BH6,step02图片链接!B:J,9,0)=""),"",VLOOKUP(BH6,step02图片链接!B:J,9,0))</f>
        <v/>
      </c>
      <c r="AN6" t="str">
        <f ca="1">IF(OR(B6="",VLOOKUP(BH6,step02图片链接!B:K,10,0)=""),"",VLOOKUP(BH6,step02图片链接!B:K,10,0))</f>
        <v/>
      </c>
      <c r="AO6" t="str">
        <f ca="1">IF(OR(B6="",VLOOKUP(BH6,step02图片链接!B:L,11,0)=""),"",VLOOKUP(BH6,step02图片链接!B:L,11,0))</f>
        <v/>
      </c>
      <c r="AP6" t="str">
        <f ca="1">IF(OR(B6="",VLOOKUP(BH6,step02图片链接!B:M,12,0)=""),"",VLOOKUP(BH6,step02图片链接!B:M,12,0))</f>
        <v/>
      </c>
      <c r="AQ6" t="str">
        <f ca="1">IF(OR(B6="",VLOOKUP(BH6,step02图片链接!B:N,13,0)=""),"",VLOOKUP(BH6,step02图片链接!B:N,13,0))</f>
        <v/>
      </c>
      <c r="AS6" t="str">
        <f t="shared" ref="AS6:AS37" si="21">IF(AT6="","","Child")</f>
        <v/>
      </c>
      <c r="AT6" t="str">
        <f t="shared" ref="AT6:AT37" si="22">IF(B6="","",$B$4)</f>
        <v/>
      </c>
      <c r="AU6" t="str">
        <f t="shared" si="6"/>
        <v/>
      </c>
      <c r="AV6" t="str">
        <f>IF(B6="","",step01标题尺码信息!$T$36)</f>
        <v/>
      </c>
      <c r="AZ6" t="str">
        <f>IF(B6="","",step01标题尺码信息!$S$41)</f>
        <v/>
      </c>
      <c r="BA6" t="str">
        <f>IF(B6="","",step01标题尺码信息!$S$43)</f>
        <v/>
      </c>
      <c r="BB6" t="str">
        <f>IF(B6="","",step01标题尺码信息!$S$45)</f>
        <v/>
      </c>
      <c r="BC6" t="str">
        <f>IF(B6="","",step01标题尺码信息!$S$47)</f>
        <v/>
      </c>
      <c r="BD6" t="str">
        <f>IF(B6="","",step01标题尺码信息!$S$49)</f>
        <v/>
      </c>
      <c r="BE6" t="str">
        <f>IF(B6="","",step01标题尺码信息!$S$53)</f>
        <v/>
      </c>
      <c r="BH6" t="str">
        <f ca="1">IF(B6="","",IF(DX6="Parent","",VLOOKUP(B6,step01标题尺码信息!G:P,7,0)))</f>
        <v/>
      </c>
      <c r="BI6" t="str">
        <f ca="1">IF(B6="","",IF(DX6="Parent","",VLOOKUP(B6,step01标题尺码信息!G:P,8,0)))</f>
        <v/>
      </c>
      <c r="BK6" t="str">
        <f t="shared" si="7"/>
        <v/>
      </c>
      <c r="BL6" t="str">
        <f t="shared" si="8"/>
        <v/>
      </c>
      <c r="BO6" t="str">
        <f t="shared" si="9"/>
        <v/>
      </c>
      <c r="BR6" t="str">
        <f ca="1">IF(B6="","",IF(AS6="Parent","",VLOOKUP(B6,step01标题尺码信息!G:P,9,0)))</f>
        <v/>
      </c>
      <c r="CY6" t="str">
        <f t="shared" si="10"/>
        <v/>
      </c>
      <c r="DG6" t="str">
        <f>IF(B6="","",step01标题尺码信息!$T$30)</f>
        <v/>
      </c>
      <c r="DH6" t="str">
        <f t="shared" si="11"/>
        <v/>
      </c>
      <c r="DN6" t="str">
        <f ca="1" t="shared" si="12"/>
        <v/>
      </c>
      <c r="DW6" t="str">
        <f t="shared" si="13"/>
        <v/>
      </c>
      <c r="ER6" t="str">
        <f>IF(B6="","",step01标题尺码信息!$T$37)</f>
        <v/>
      </c>
      <c r="ES6" t="str">
        <f t="shared" si="14"/>
        <v/>
      </c>
      <c r="HF6" t="str">
        <f>IF(B6="","",step01标题尺码信息!$S$2)</f>
        <v/>
      </c>
      <c r="HH6" t="str">
        <f t="shared" si="15"/>
        <v/>
      </c>
      <c r="HI6" t="str">
        <f t="shared" si="16"/>
        <v/>
      </c>
      <c r="HL6" t="str">
        <f t="shared" si="17"/>
        <v/>
      </c>
      <c r="IA6" t="str">
        <f t="shared" si="18"/>
        <v/>
      </c>
    </row>
    <row r="7" spans="1:258">
      <c r="A7" t="str">
        <f>IF(B7="","",step01标题尺码信息!$B$3)</f>
        <v/>
      </c>
      <c r="B7" t="str">
        <f>IF(step01标题尺码信息!G9="","",step01标题尺码信息!G9)</f>
        <v/>
      </c>
      <c r="C7" t="str">
        <f>IF(B7="","",step01标题尺码信息!$E$3)</f>
        <v/>
      </c>
      <c r="D7" t="str">
        <f t="shared" si="0"/>
        <v/>
      </c>
      <c r="E7" t="str">
        <f ca="1">IF(B7="","",VLOOKUP(B7,step01标题尺码信息!G:P,4,0))</f>
        <v/>
      </c>
      <c r="H7" t="str">
        <f>IF(B7="","",step01标题尺码信息!$R$19)</f>
        <v/>
      </c>
      <c r="I7" t="str">
        <f t="shared" si="1"/>
        <v/>
      </c>
      <c r="M7" t="str">
        <f t="shared" si="2"/>
        <v/>
      </c>
      <c r="U7" t="str">
        <f>IF(B7="","",step01标题尺码信息!$S$1)</f>
        <v/>
      </c>
      <c r="V7" t="str">
        <f t="shared" si="3"/>
        <v/>
      </c>
      <c r="W7" t="str">
        <f>IF(B7="","",step01标题尺码信息!$V$1)</f>
        <v/>
      </c>
      <c r="X7" t="str">
        <f>IF(B7="","",step01标题尺码信息!$V$2)</f>
        <v/>
      </c>
      <c r="Y7" t="str">
        <f t="shared" si="4"/>
        <v/>
      </c>
      <c r="Z7" t="str">
        <f t="shared" si="5"/>
        <v/>
      </c>
      <c r="AA7" t="str">
        <f ca="1">IF(B7="","",IF(CB7="Parent","",VLOOKUP(B7,step01标题尺码信息!G:P,9,0)))</f>
        <v/>
      </c>
      <c r="AG7" t="str">
        <f t="shared" si="19"/>
        <v/>
      </c>
      <c r="AH7" t="str">
        <f t="shared" si="20"/>
        <v/>
      </c>
      <c r="AI7" t="str">
        <f ca="1">IF(OR(B7="",VLOOKUP(BH7,step02图片链接!B:E,4,0)=""),"",VLOOKUP(BH7,step02图片链接!B:E,4,0))</f>
        <v/>
      </c>
      <c r="AJ7" t="str">
        <f ca="1">IF(OR(B7="",VLOOKUP(BH7,step02图片链接!B:G,6,0)=""),"",VLOOKUP(BH7,step02图片链接!B:G,6,0))</f>
        <v/>
      </c>
      <c r="AK7" t="str">
        <f ca="1">IF(OR(B7="",VLOOKUP(BH7,step02图片链接!B:H,7,0)=""),"",VLOOKUP(BH7,step02图片链接!B:H,7,0))</f>
        <v/>
      </c>
      <c r="AL7" t="str">
        <f ca="1">IF(OR(B7="",VLOOKUP(BH7,step02图片链接!B:I,8,0)=""),"",VLOOKUP(BH7,step02图片链接!B:I,8,0))</f>
        <v/>
      </c>
      <c r="AM7" t="str">
        <f ca="1">IF(OR(B7="",VLOOKUP(BH7,step02图片链接!B:J,9,0)=""),"",VLOOKUP(BH7,step02图片链接!B:J,9,0))</f>
        <v/>
      </c>
      <c r="AN7" t="str">
        <f ca="1">IF(OR(B7="",VLOOKUP(BH7,step02图片链接!B:K,10,0)=""),"",VLOOKUP(BH7,step02图片链接!B:K,10,0))</f>
        <v/>
      </c>
      <c r="AO7" t="str">
        <f ca="1">IF(OR(B7="",VLOOKUP(BH7,step02图片链接!B:L,11,0)=""),"",VLOOKUP(BH7,step02图片链接!B:L,11,0))</f>
        <v/>
      </c>
      <c r="AP7" t="str">
        <f ca="1">IF(OR(B7="",VLOOKUP(BH7,step02图片链接!B:M,12,0)=""),"",VLOOKUP(BH7,step02图片链接!B:M,12,0))</f>
        <v/>
      </c>
      <c r="AQ7" t="str">
        <f ca="1">IF(OR(B7="",VLOOKUP(BH7,step02图片链接!B:N,13,0)=""),"",VLOOKUP(BH7,step02图片链接!B:N,13,0))</f>
        <v/>
      </c>
      <c r="AS7" t="str">
        <f t="shared" si="21"/>
        <v/>
      </c>
      <c r="AT7" t="str">
        <f t="shared" si="22"/>
        <v/>
      </c>
      <c r="AU7" t="str">
        <f t="shared" si="6"/>
        <v/>
      </c>
      <c r="AV7" t="str">
        <f>IF(B7="","",step01标题尺码信息!$T$36)</f>
        <v/>
      </c>
      <c r="AZ7" t="str">
        <f>IF(B7="","",step01标题尺码信息!$S$41)</f>
        <v/>
      </c>
      <c r="BA7" t="str">
        <f>IF(B7="","",step01标题尺码信息!$S$43)</f>
        <v/>
      </c>
      <c r="BB7" t="str">
        <f>IF(B7="","",step01标题尺码信息!$S$45)</f>
        <v/>
      </c>
      <c r="BC7" t="str">
        <f>IF(B7="","",step01标题尺码信息!$S$47)</f>
        <v/>
      </c>
      <c r="BD7" t="str">
        <f>IF(B7="","",step01标题尺码信息!$S$49)</f>
        <v/>
      </c>
      <c r="BE7" t="str">
        <f>IF(B7="","",step01标题尺码信息!$S$53)</f>
        <v/>
      </c>
      <c r="BH7" t="str">
        <f ca="1">IF(B7="","",IF(DX7="Parent","",VLOOKUP(B7,step01标题尺码信息!G:P,7,0)))</f>
        <v/>
      </c>
      <c r="BI7" t="str">
        <f ca="1">IF(B7="","",IF(DX7="Parent","",VLOOKUP(B7,step01标题尺码信息!G:P,8,0)))</f>
        <v/>
      </c>
      <c r="BK7" t="str">
        <f t="shared" si="7"/>
        <v/>
      </c>
      <c r="BL7" t="str">
        <f t="shared" si="8"/>
        <v/>
      </c>
      <c r="BO7" t="str">
        <f t="shared" si="9"/>
        <v/>
      </c>
      <c r="BR7" t="str">
        <f ca="1">IF(B7="","",IF(AS7="Parent","",VLOOKUP(B7,step01标题尺码信息!G:P,9,0)))</f>
        <v/>
      </c>
      <c r="CY7" t="str">
        <f t="shared" si="10"/>
        <v/>
      </c>
      <c r="DG7" t="str">
        <f>IF(B7="","",step01标题尺码信息!$T$30)</f>
        <v/>
      </c>
      <c r="DH7" t="str">
        <f t="shared" si="11"/>
        <v/>
      </c>
      <c r="DN7" t="str">
        <f ca="1" t="shared" si="12"/>
        <v/>
      </c>
      <c r="DW7" t="str">
        <f t="shared" si="13"/>
        <v/>
      </c>
      <c r="ER7" t="str">
        <f>IF(B7="","",step01标题尺码信息!$T$37)</f>
        <v/>
      </c>
      <c r="ES7" t="str">
        <f t="shared" si="14"/>
        <v/>
      </c>
      <c r="HF7" t="str">
        <f>IF(B7="","",step01标题尺码信息!$S$2)</f>
        <v/>
      </c>
      <c r="HH7" t="str">
        <f t="shared" si="15"/>
        <v/>
      </c>
      <c r="HI7" t="str">
        <f t="shared" si="16"/>
        <v/>
      </c>
      <c r="HL7" t="str">
        <f t="shared" si="17"/>
        <v/>
      </c>
      <c r="IA7" t="str">
        <f t="shared" si="18"/>
        <v/>
      </c>
    </row>
    <row r="8" spans="1:258">
      <c r="A8" t="str">
        <f>IF(B8="","",step01标题尺码信息!$B$3)</f>
        <v/>
      </c>
      <c r="B8" t="str">
        <f>IF(step01标题尺码信息!G10="","",step01标题尺码信息!G10)</f>
        <v/>
      </c>
      <c r="C8" t="str">
        <f>IF(B8="","",step01标题尺码信息!$E$3)</f>
        <v/>
      </c>
      <c r="D8" t="str">
        <f t="shared" si="0"/>
        <v/>
      </c>
      <c r="E8" t="str">
        <f ca="1">IF(B8="","",VLOOKUP(B8,step01标题尺码信息!G:P,4,0))</f>
        <v/>
      </c>
      <c r="H8" t="str">
        <f>IF(B8="","",step01标题尺码信息!$R$19)</f>
        <v/>
      </c>
      <c r="I8" t="str">
        <f t="shared" si="1"/>
        <v/>
      </c>
      <c r="M8" t="str">
        <f t="shared" si="2"/>
        <v/>
      </c>
      <c r="U8" t="str">
        <f>IF(B8="","",step01标题尺码信息!$S$1)</f>
        <v/>
      </c>
      <c r="V8" t="str">
        <f t="shared" si="3"/>
        <v/>
      </c>
      <c r="W8" t="str">
        <f>IF(B8="","",step01标题尺码信息!$V$1)</f>
        <v/>
      </c>
      <c r="X8" t="str">
        <f>IF(B8="","",step01标题尺码信息!$V$2)</f>
        <v/>
      </c>
      <c r="Y8" t="str">
        <f t="shared" si="4"/>
        <v/>
      </c>
      <c r="Z8" t="str">
        <f t="shared" si="5"/>
        <v/>
      </c>
      <c r="AA8" t="str">
        <f ca="1">IF(B8="","",IF(CB8="Parent","",VLOOKUP(B8,step01标题尺码信息!G:P,9,0)))</f>
        <v/>
      </c>
      <c r="AG8" t="str">
        <f t="shared" si="19"/>
        <v/>
      </c>
      <c r="AH8" t="str">
        <f t="shared" si="20"/>
        <v/>
      </c>
      <c r="AI8" t="str">
        <f ca="1">IF(OR(B8="",VLOOKUP(BH8,step02图片链接!B:E,4,0)=""),"",VLOOKUP(BH8,step02图片链接!B:E,4,0))</f>
        <v/>
      </c>
      <c r="AJ8" t="str">
        <f ca="1">IF(OR(B8="",VLOOKUP(BH8,step02图片链接!B:G,6,0)=""),"",VLOOKUP(BH8,step02图片链接!B:G,6,0))</f>
        <v/>
      </c>
      <c r="AK8" t="str">
        <f ca="1">IF(OR(B8="",VLOOKUP(BH8,step02图片链接!B:H,7,0)=""),"",VLOOKUP(BH8,step02图片链接!B:H,7,0))</f>
        <v/>
      </c>
      <c r="AL8" t="str">
        <f ca="1">IF(OR(B8="",VLOOKUP(BH8,step02图片链接!B:I,8,0)=""),"",VLOOKUP(BH8,step02图片链接!B:I,8,0))</f>
        <v/>
      </c>
      <c r="AM8" t="str">
        <f ca="1">IF(OR(B8="",VLOOKUP(BH8,step02图片链接!B:J,9,0)=""),"",VLOOKUP(BH8,step02图片链接!B:J,9,0))</f>
        <v/>
      </c>
      <c r="AN8" t="str">
        <f ca="1">IF(OR(B8="",VLOOKUP(BH8,step02图片链接!B:K,10,0)=""),"",VLOOKUP(BH8,step02图片链接!B:K,10,0))</f>
        <v/>
      </c>
      <c r="AO8" t="str">
        <f ca="1">IF(OR(B8="",VLOOKUP(BH8,step02图片链接!B:L,11,0)=""),"",VLOOKUP(BH8,step02图片链接!B:L,11,0))</f>
        <v/>
      </c>
      <c r="AP8" t="str">
        <f ca="1">IF(OR(B8="",VLOOKUP(BH8,step02图片链接!B:M,12,0)=""),"",VLOOKUP(BH8,step02图片链接!B:M,12,0))</f>
        <v/>
      </c>
      <c r="AQ8" t="str">
        <f ca="1">IF(OR(B8="",VLOOKUP(BH8,step02图片链接!B:N,13,0)=""),"",VLOOKUP(BH8,step02图片链接!B:N,13,0))</f>
        <v/>
      </c>
      <c r="AS8" t="str">
        <f t="shared" si="21"/>
        <v/>
      </c>
      <c r="AT8" t="str">
        <f t="shared" si="22"/>
        <v/>
      </c>
      <c r="AU8" t="str">
        <f t="shared" si="6"/>
        <v/>
      </c>
      <c r="AV8" t="str">
        <f>IF(B8="","",step01标题尺码信息!$T$36)</f>
        <v/>
      </c>
      <c r="AZ8" t="str">
        <f>IF(B8="","",step01标题尺码信息!$S$41)</f>
        <v/>
      </c>
      <c r="BA8" t="str">
        <f>IF(B8="","",step01标题尺码信息!$S$43)</f>
        <v/>
      </c>
      <c r="BB8" t="str">
        <f>IF(B8="","",step01标题尺码信息!$S$45)</f>
        <v/>
      </c>
      <c r="BC8" t="str">
        <f>IF(B8="","",step01标题尺码信息!$S$47)</f>
        <v/>
      </c>
      <c r="BD8" t="str">
        <f>IF(B8="","",step01标题尺码信息!$S$49)</f>
        <v/>
      </c>
      <c r="BE8" t="str">
        <f>IF(B8="","",step01标题尺码信息!$S$53)</f>
        <v/>
      </c>
      <c r="BH8" t="str">
        <f ca="1">IF(B8="","",IF(DX8="Parent","",VLOOKUP(B8,step01标题尺码信息!G:P,7,0)))</f>
        <v/>
      </c>
      <c r="BI8" t="str">
        <f ca="1">IF(B8="","",IF(DX8="Parent","",VLOOKUP(B8,step01标题尺码信息!G:P,8,0)))</f>
        <v/>
      </c>
      <c r="BK8" t="str">
        <f t="shared" si="7"/>
        <v/>
      </c>
      <c r="BL8" t="str">
        <f t="shared" si="8"/>
        <v/>
      </c>
      <c r="BO8" t="str">
        <f t="shared" si="9"/>
        <v/>
      </c>
      <c r="BR8" t="str">
        <f ca="1">IF(B8="","",IF(AS8="Parent","",VLOOKUP(B8,step01标题尺码信息!G:P,9,0)))</f>
        <v/>
      </c>
      <c r="CY8" t="str">
        <f t="shared" si="10"/>
        <v/>
      </c>
      <c r="DG8" t="str">
        <f>IF(B8="","",step01标题尺码信息!$T$30)</f>
        <v/>
      </c>
      <c r="DH8" t="str">
        <f t="shared" si="11"/>
        <v/>
      </c>
      <c r="DN8" t="str">
        <f ca="1" t="shared" si="12"/>
        <v/>
      </c>
      <c r="DW8" t="str">
        <f t="shared" si="13"/>
        <v/>
      </c>
      <c r="ER8" t="str">
        <f>IF(B8="","",step01标题尺码信息!$T$37)</f>
        <v/>
      </c>
      <c r="ES8" t="str">
        <f t="shared" si="14"/>
        <v/>
      </c>
      <c r="HF8" t="str">
        <f>IF(B8="","",step01标题尺码信息!$S$2)</f>
        <v/>
      </c>
      <c r="HH8" t="str">
        <f t="shared" si="15"/>
        <v/>
      </c>
      <c r="HI8" t="str">
        <f t="shared" si="16"/>
        <v/>
      </c>
      <c r="HL8" t="str">
        <f t="shared" si="17"/>
        <v/>
      </c>
      <c r="IA8" t="str">
        <f t="shared" si="18"/>
        <v/>
      </c>
    </row>
    <row r="9" spans="1:258">
      <c r="A9" t="str">
        <f>IF(B9="","",step01标题尺码信息!$B$3)</f>
        <v/>
      </c>
      <c r="B9" t="str">
        <f>IF(step01标题尺码信息!G11="","",step01标题尺码信息!G11)</f>
        <v/>
      </c>
      <c r="C9" t="str">
        <f>IF(B9="","",step01标题尺码信息!$E$3)</f>
        <v/>
      </c>
      <c r="D9" t="str">
        <f t="shared" si="0"/>
        <v/>
      </c>
      <c r="E9" t="str">
        <f ca="1">IF(B9="","",VLOOKUP(B9,step01标题尺码信息!G:P,4,0))</f>
        <v/>
      </c>
      <c r="H9" t="str">
        <f>IF(B9="","",step01标题尺码信息!$R$19)</f>
        <v/>
      </c>
      <c r="I9" t="str">
        <f t="shared" si="1"/>
        <v/>
      </c>
      <c r="M9" t="str">
        <f t="shared" si="2"/>
        <v/>
      </c>
      <c r="U9" t="str">
        <f>IF(B9="","",step01标题尺码信息!$S$1)</f>
        <v/>
      </c>
      <c r="V9" t="str">
        <f t="shared" si="3"/>
        <v/>
      </c>
      <c r="W9" t="str">
        <f>IF(B9="","",step01标题尺码信息!$V$1)</f>
        <v/>
      </c>
      <c r="X9" t="str">
        <f>IF(B9="","",step01标题尺码信息!$V$2)</f>
        <v/>
      </c>
      <c r="Y9" t="str">
        <f t="shared" si="4"/>
        <v/>
      </c>
      <c r="Z9" t="str">
        <f t="shared" si="5"/>
        <v/>
      </c>
      <c r="AA9" t="str">
        <f ca="1">IF(B9="","",IF(CB9="Parent","",VLOOKUP(B9,step01标题尺码信息!G:P,9,0)))</f>
        <v/>
      </c>
      <c r="AG9" t="str">
        <f t="shared" si="19"/>
        <v/>
      </c>
      <c r="AH9" t="str">
        <f t="shared" si="20"/>
        <v/>
      </c>
      <c r="AI9" t="str">
        <f ca="1">IF(OR(B9="",VLOOKUP(BH9,step02图片链接!B:E,4,0)=""),"",VLOOKUP(BH9,step02图片链接!B:E,4,0))</f>
        <v/>
      </c>
      <c r="AJ9" t="str">
        <f ca="1">IF(OR(B9="",VLOOKUP(BH9,step02图片链接!B:G,6,0)=""),"",VLOOKUP(BH9,step02图片链接!B:G,6,0))</f>
        <v/>
      </c>
      <c r="AK9" t="str">
        <f ca="1">IF(OR(B9="",VLOOKUP(BH9,step02图片链接!B:H,7,0)=""),"",VLOOKUP(BH9,step02图片链接!B:H,7,0))</f>
        <v/>
      </c>
      <c r="AL9" t="str">
        <f ca="1">IF(OR(B9="",VLOOKUP(BH9,step02图片链接!B:I,8,0)=""),"",VLOOKUP(BH9,step02图片链接!B:I,8,0))</f>
        <v/>
      </c>
      <c r="AM9" t="str">
        <f ca="1">IF(OR(B9="",VLOOKUP(BH9,step02图片链接!B:J,9,0)=""),"",VLOOKUP(BH9,step02图片链接!B:J,9,0))</f>
        <v/>
      </c>
      <c r="AN9" t="str">
        <f ca="1">IF(OR(B9="",VLOOKUP(BH9,step02图片链接!B:K,10,0)=""),"",VLOOKUP(BH9,step02图片链接!B:K,10,0))</f>
        <v/>
      </c>
      <c r="AO9" t="str">
        <f ca="1">IF(OR(B9="",VLOOKUP(BH9,step02图片链接!B:L,11,0)=""),"",VLOOKUP(BH9,step02图片链接!B:L,11,0))</f>
        <v/>
      </c>
      <c r="AP9" t="str">
        <f ca="1">IF(OR(B9="",VLOOKUP(BH9,step02图片链接!B:M,12,0)=""),"",VLOOKUP(BH9,step02图片链接!B:M,12,0))</f>
        <v/>
      </c>
      <c r="AQ9" t="str">
        <f ca="1">IF(OR(B9="",VLOOKUP(BH9,step02图片链接!B:N,13,0)=""),"",VLOOKUP(BH9,step02图片链接!B:N,13,0))</f>
        <v/>
      </c>
      <c r="AS9" t="str">
        <f t="shared" si="21"/>
        <v/>
      </c>
      <c r="AT9" t="str">
        <f t="shared" si="22"/>
        <v/>
      </c>
      <c r="AU9" t="str">
        <f t="shared" si="6"/>
        <v/>
      </c>
      <c r="AV9" t="str">
        <f>IF(B9="","",step01标题尺码信息!$T$36)</f>
        <v/>
      </c>
      <c r="AZ9" t="str">
        <f>IF(B9="","",step01标题尺码信息!$S$41)</f>
        <v/>
      </c>
      <c r="BA9" t="str">
        <f>IF(B9="","",step01标题尺码信息!$S$43)</f>
        <v/>
      </c>
      <c r="BB9" t="str">
        <f>IF(B9="","",step01标题尺码信息!$S$45)</f>
        <v/>
      </c>
      <c r="BC9" t="str">
        <f>IF(B9="","",step01标题尺码信息!$S$47)</f>
        <v/>
      </c>
      <c r="BD9" t="str">
        <f>IF(B9="","",step01标题尺码信息!$S$49)</f>
        <v/>
      </c>
      <c r="BE9" t="str">
        <f>IF(B9="","",step01标题尺码信息!$S$53)</f>
        <v/>
      </c>
      <c r="BH9" t="str">
        <f ca="1">IF(B9="","",IF(DX9="Parent","",VLOOKUP(B9,step01标题尺码信息!G:P,7,0)))</f>
        <v/>
      </c>
      <c r="BI9" t="str">
        <f ca="1">IF(B9="","",IF(DX9="Parent","",VLOOKUP(B9,step01标题尺码信息!G:P,8,0)))</f>
        <v/>
      </c>
      <c r="BK9" t="str">
        <f t="shared" si="7"/>
        <v/>
      </c>
      <c r="BL9" t="str">
        <f t="shared" si="8"/>
        <v/>
      </c>
      <c r="BO9" t="str">
        <f t="shared" si="9"/>
        <v/>
      </c>
      <c r="BR9" t="str">
        <f ca="1">IF(B9="","",IF(AS9="Parent","",VLOOKUP(B9,step01标题尺码信息!G:P,9,0)))</f>
        <v/>
      </c>
      <c r="CY9" t="str">
        <f t="shared" si="10"/>
        <v/>
      </c>
      <c r="DG9" t="str">
        <f>IF(B9="","",step01标题尺码信息!$T$30)</f>
        <v/>
      </c>
      <c r="DH9" t="str">
        <f t="shared" si="11"/>
        <v/>
      </c>
      <c r="DN9" t="str">
        <f ca="1" t="shared" si="12"/>
        <v/>
      </c>
      <c r="DW9" t="str">
        <f t="shared" si="13"/>
        <v/>
      </c>
      <c r="ER9" t="str">
        <f>IF(B9="","",step01标题尺码信息!$T$37)</f>
        <v/>
      </c>
      <c r="ES9" t="str">
        <f t="shared" si="14"/>
        <v/>
      </c>
      <c r="HF9" t="str">
        <f>IF(B9="","",step01标题尺码信息!$S$2)</f>
        <v/>
      </c>
      <c r="HH9" t="str">
        <f t="shared" si="15"/>
        <v/>
      </c>
      <c r="HI9" t="str">
        <f t="shared" si="16"/>
        <v/>
      </c>
      <c r="HL9" t="str">
        <f t="shared" si="17"/>
        <v/>
      </c>
      <c r="IA9" t="str">
        <f t="shared" si="18"/>
        <v/>
      </c>
    </row>
    <row r="10" spans="1:258">
      <c r="A10" t="str">
        <f>IF(B10="","",step01标题尺码信息!$B$3)</f>
        <v/>
      </c>
      <c r="B10" t="str">
        <f>IF(step01标题尺码信息!G12="","",step01标题尺码信息!G12)</f>
        <v/>
      </c>
      <c r="C10" t="str">
        <f>IF(B10="","",step01标题尺码信息!$E$3)</f>
        <v/>
      </c>
      <c r="D10" t="str">
        <f t="shared" si="0"/>
        <v/>
      </c>
      <c r="E10" t="str">
        <f ca="1">IF(B10="","",VLOOKUP(B10,step01标题尺码信息!G:P,4,0))</f>
        <v/>
      </c>
      <c r="H10" t="str">
        <f>IF(B10="","",step01标题尺码信息!$R$19)</f>
        <v/>
      </c>
      <c r="I10" t="str">
        <f t="shared" si="1"/>
        <v/>
      </c>
      <c r="M10" t="str">
        <f t="shared" si="2"/>
        <v/>
      </c>
      <c r="U10" t="str">
        <f>IF(B10="","",step01标题尺码信息!$S$1)</f>
        <v/>
      </c>
      <c r="V10" t="str">
        <f t="shared" si="3"/>
        <v/>
      </c>
      <c r="W10" t="str">
        <f>IF(B10="","",step01标题尺码信息!$V$1)</f>
        <v/>
      </c>
      <c r="X10" t="str">
        <f>IF(B10="","",step01标题尺码信息!$V$2)</f>
        <v/>
      </c>
      <c r="Y10" t="str">
        <f t="shared" si="4"/>
        <v/>
      </c>
      <c r="Z10" t="str">
        <f t="shared" si="5"/>
        <v/>
      </c>
      <c r="AA10" t="str">
        <f ca="1">IF(B10="","",IF(CB10="Parent","",VLOOKUP(B10,step01标题尺码信息!G:P,9,0)))</f>
        <v/>
      </c>
      <c r="AG10" t="str">
        <f t="shared" si="19"/>
        <v/>
      </c>
      <c r="AH10" t="str">
        <f t="shared" si="20"/>
        <v/>
      </c>
      <c r="AI10" t="str">
        <f ca="1">IF(OR(B10="",VLOOKUP(BH10,step02图片链接!B:E,4,0)=""),"",VLOOKUP(BH10,step02图片链接!B:E,4,0))</f>
        <v/>
      </c>
      <c r="AJ10" t="str">
        <f ca="1">IF(OR(B10="",VLOOKUP(BH10,step02图片链接!B:G,6,0)=""),"",VLOOKUP(BH10,step02图片链接!B:G,6,0))</f>
        <v/>
      </c>
      <c r="AK10" t="str">
        <f ca="1">IF(OR(B10="",VLOOKUP(BH10,step02图片链接!B:H,7,0)=""),"",VLOOKUP(BH10,step02图片链接!B:H,7,0))</f>
        <v/>
      </c>
      <c r="AL10" t="str">
        <f ca="1">IF(OR(B10="",VLOOKUP(BH10,step02图片链接!B:I,8,0)=""),"",VLOOKUP(BH10,step02图片链接!B:I,8,0))</f>
        <v/>
      </c>
      <c r="AM10" t="str">
        <f ca="1">IF(OR(B10="",VLOOKUP(BH10,step02图片链接!B:J,9,0)=""),"",VLOOKUP(BH10,step02图片链接!B:J,9,0))</f>
        <v/>
      </c>
      <c r="AN10" t="str">
        <f ca="1">IF(OR(B10="",VLOOKUP(BH10,step02图片链接!B:K,10,0)=""),"",VLOOKUP(BH10,step02图片链接!B:K,10,0))</f>
        <v/>
      </c>
      <c r="AO10" t="str">
        <f ca="1">IF(OR(B10="",VLOOKUP(BH10,step02图片链接!B:L,11,0)=""),"",VLOOKUP(BH10,step02图片链接!B:L,11,0))</f>
        <v/>
      </c>
      <c r="AP10" t="str">
        <f ca="1">IF(OR(B10="",VLOOKUP(BH10,step02图片链接!B:M,12,0)=""),"",VLOOKUP(BH10,step02图片链接!B:M,12,0))</f>
        <v/>
      </c>
      <c r="AQ10" t="str">
        <f ca="1">IF(OR(B10="",VLOOKUP(BH10,step02图片链接!B:N,13,0)=""),"",VLOOKUP(BH10,step02图片链接!B:N,13,0))</f>
        <v/>
      </c>
      <c r="AS10" t="str">
        <f t="shared" si="21"/>
        <v/>
      </c>
      <c r="AT10" t="str">
        <f t="shared" si="22"/>
        <v/>
      </c>
      <c r="AU10" t="str">
        <f t="shared" si="6"/>
        <v/>
      </c>
      <c r="AV10" t="str">
        <f>IF(B10="","",step01标题尺码信息!$T$36)</f>
        <v/>
      </c>
      <c r="AZ10" t="str">
        <f>IF(B10="","",step01标题尺码信息!$S$41)</f>
        <v/>
      </c>
      <c r="BA10" t="str">
        <f>IF(B10="","",step01标题尺码信息!$S$43)</f>
        <v/>
      </c>
      <c r="BB10" t="str">
        <f>IF(B10="","",step01标题尺码信息!$S$45)</f>
        <v/>
      </c>
      <c r="BC10" t="str">
        <f>IF(B10="","",step01标题尺码信息!$S$47)</f>
        <v/>
      </c>
      <c r="BD10" t="str">
        <f>IF(B10="","",step01标题尺码信息!$S$49)</f>
        <v/>
      </c>
      <c r="BE10" t="str">
        <f>IF(B10="","",step01标题尺码信息!$S$53)</f>
        <v/>
      </c>
      <c r="BH10" t="str">
        <f ca="1">IF(B10="","",IF(DX10="Parent","",VLOOKUP(B10,step01标题尺码信息!G:P,7,0)))</f>
        <v/>
      </c>
      <c r="BI10" t="str">
        <f ca="1">IF(B10="","",IF(DX10="Parent","",VLOOKUP(B10,step01标题尺码信息!G:P,8,0)))</f>
        <v/>
      </c>
      <c r="BK10" t="str">
        <f t="shared" si="7"/>
        <v/>
      </c>
      <c r="BL10" t="str">
        <f t="shared" si="8"/>
        <v/>
      </c>
      <c r="BO10" t="str">
        <f t="shared" si="9"/>
        <v/>
      </c>
      <c r="BR10" t="str">
        <f ca="1">IF(B10="","",IF(AS10="Parent","",VLOOKUP(B10,step01标题尺码信息!G:P,9,0)))</f>
        <v/>
      </c>
      <c r="CY10" t="str">
        <f t="shared" si="10"/>
        <v/>
      </c>
      <c r="DG10" t="str">
        <f>IF(B10="","",step01标题尺码信息!$T$30)</f>
        <v/>
      </c>
      <c r="DH10" t="str">
        <f t="shared" si="11"/>
        <v/>
      </c>
      <c r="DN10" t="str">
        <f ca="1" t="shared" si="12"/>
        <v/>
      </c>
      <c r="DW10" t="str">
        <f t="shared" si="13"/>
        <v/>
      </c>
      <c r="ER10" t="str">
        <f>IF(B10="","",step01标题尺码信息!$T$37)</f>
        <v/>
      </c>
      <c r="ES10" t="str">
        <f t="shared" si="14"/>
        <v/>
      </c>
      <c r="HF10" t="str">
        <f>IF(B10="","",step01标题尺码信息!$S$2)</f>
        <v/>
      </c>
      <c r="HH10" t="str">
        <f t="shared" si="15"/>
        <v/>
      </c>
      <c r="HI10" t="str">
        <f t="shared" si="16"/>
        <v/>
      </c>
      <c r="HL10" t="str">
        <f t="shared" si="17"/>
        <v/>
      </c>
      <c r="IA10" t="str">
        <f t="shared" si="18"/>
        <v/>
      </c>
    </row>
    <row r="11" spans="1:258">
      <c r="A11" t="str">
        <f>IF(B11="","",step01标题尺码信息!$B$3)</f>
        <v/>
      </c>
      <c r="B11" t="str">
        <f>IF(step01标题尺码信息!G13="","",step01标题尺码信息!G13)</f>
        <v/>
      </c>
      <c r="C11" t="str">
        <f>IF(B11="","",step01标题尺码信息!$E$3)</f>
        <v/>
      </c>
      <c r="D11" t="str">
        <f t="shared" si="0"/>
        <v/>
      </c>
      <c r="E11" t="str">
        <f ca="1">IF(B11="","",VLOOKUP(B11,step01标题尺码信息!G:P,4,0))</f>
        <v/>
      </c>
      <c r="H11" t="str">
        <f>IF(B11="","",step01标题尺码信息!$R$19)</f>
        <v/>
      </c>
      <c r="I11" t="str">
        <f t="shared" si="1"/>
        <v/>
      </c>
      <c r="M11" t="str">
        <f t="shared" si="2"/>
        <v/>
      </c>
      <c r="U11" t="str">
        <f>IF(B11="","",step01标题尺码信息!$S$1)</f>
        <v/>
      </c>
      <c r="V11" t="str">
        <f t="shared" si="3"/>
        <v/>
      </c>
      <c r="W11" t="str">
        <f>IF(B11="","",step01标题尺码信息!$V$1)</f>
        <v/>
      </c>
      <c r="X11" t="str">
        <f>IF(B11="","",step01标题尺码信息!$V$2)</f>
        <v/>
      </c>
      <c r="Y11" t="str">
        <f t="shared" si="4"/>
        <v/>
      </c>
      <c r="Z11" t="str">
        <f t="shared" si="5"/>
        <v/>
      </c>
      <c r="AA11" t="str">
        <f ca="1">IF(B11="","",IF(CB11="Parent","",VLOOKUP(B11,step01标题尺码信息!G:P,9,0)))</f>
        <v/>
      </c>
      <c r="AG11" t="str">
        <f t="shared" si="19"/>
        <v/>
      </c>
      <c r="AH11" t="str">
        <f t="shared" si="20"/>
        <v/>
      </c>
      <c r="AI11" t="str">
        <f ca="1">IF(OR(B11="",VLOOKUP(BH11,step02图片链接!B:E,4,0)=""),"",VLOOKUP(BH11,step02图片链接!B:E,4,0))</f>
        <v/>
      </c>
      <c r="AJ11" t="str">
        <f ca="1">IF(OR(B11="",VLOOKUP(BH11,step02图片链接!B:G,6,0)=""),"",VLOOKUP(BH11,step02图片链接!B:G,6,0))</f>
        <v/>
      </c>
      <c r="AK11" t="str">
        <f ca="1">IF(OR(B11="",VLOOKUP(BH11,step02图片链接!B:H,7,0)=""),"",VLOOKUP(BH11,step02图片链接!B:H,7,0))</f>
        <v/>
      </c>
      <c r="AL11" t="str">
        <f ca="1">IF(OR(B11="",VLOOKUP(BH11,step02图片链接!B:I,8,0)=""),"",VLOOKUP(BH11,step02图片链接!B:I,8,0))</f>
        <v/>
      </c>
      <c r="AM11" t="str">
        <f ca="1">IF(OR(B11="",VLOOKUP(BH11,step02图片链接!B:J,9,0)=""),"",VLOOKUP(BH11,step02图片链接!B:J,9,0))</f>
        <v/>
      </c>
      <c r="AN11" t="str">
        <f ca="1">IF(OR(B11="",VLOOKUP(BH11,step02图片链接!B:K,10,0)=""),"",VLOOKUP(BH11,step02图片链接!B:K,10,0))</f>
        <v/>
      </c>
      <c r="AO11" t="str">
        <f ca="1">IF(OR(B11="",VLOOKUP(BH11,step02图片链接!B:L,11,0)=""),"",VLOOKUP(BH11,step02图片链接!B:L,11,0))</f>
        <v/>
      </c>
      <c r="AP11" t="str">
        <f ca="1">IF(OR(B11="",VLOOKUP(BH11,step02图片链接!B:M,12,0)=""),"",VLOOKUP(BH11,step02图片链接!B:M,12,0))</f>
        <v/>
      </c>
      <c r="AQ11" t="str">
        <f ca="1">IF(OR(B11="",VLOOKUP(BH11,step02图片链接!B:N,13,0)=""),"",VLOOKUP(BH11,step02图片链接!B:N,13,0))</f>
        <v/>
      </c>
      <c r="AS11" t="str">
        <f t="shared" si="21"/>
        <v/>
      </c>
      <c r="AT11" t="str">
        <f t="shared" si="22"/>
        <v/>
      </c>
      <c r="AU11" t="str">
        <f t="shared" si="6"/>
        <v/>
      </c>
      <c r="AV11" t="str">
        <f>IF(B11="","",step01标题尺码信息!$T$36)</f>
        <v/>
      </c>
      <c r="AZ11" t="str">
        <f>IF(B11="","",step01标题尺码信息!$S$41)</f>
        <v/>
      </c>
      <c r="BA11" t="str">
        <f>IF(B11="","",step01标题尺码信息!$S$43)</f>
        <v/>
      </c>
      <c r="BB11" t="str">
        <f>IF(B11="","",step01标题尺码信息!$S$45)</f>
        <v/>
      </c>
      <c r="BC11" t="str">
        <f>IF(B11="","",step01标题尺码信息!$S$47)</f>
        <v/>
      </c>
      <c r="BD11" t="str">
        <f>IF(B11="","",step01标题尺码信息!$S$49)</f>
        <v/>
      </c>
      <c r="BE11" t="str">
        <f>IF(B11="","",step01标题尺码信息!$S$53)</f>
        <v/>
      </c>
      <c r="BH11" t="str">
        <f ca="1">IF(B11="","",IF(DX11="Parent","",VLOOKUP(B11,step01标题尺码信息!G:P,7,0)))</f>
        <v/>
      </c>
      <c r="BI11" t="str">
        <f ca="1">IF(B11="","",IF(DX11="Parent","",VLOOKUP(B11,step01标题尺码信息!G:P,8,0)))</f>
        <v/>
      </c>
      <c r="BK11" t="str">
        <f t="shared" si="7"/>
        <v/>
      </c>
      <c r="BL11" t="str">
        <f t="shared" si="8"/>
        <v/>
      </c>
      <c r="BO11" t="str">
        <f t="shared" si="9"/>
        <v/>
      </c>
      <c r="BR11" t="str">
        <f ca="1">IF(B11="","",IF(AS11="Parent","",VLOOKUP(B11,step01标题尺码信息!G:P,9,0)))</f>
        <v/>
      </c>
      <c r="CY11" t="str">
        <f t="shared" si="10"/>
        <v/>
      </c>
      <c r="DG11" t="str">
        <f>IF(B11="","",step01标题尺码信息!$T$30)</f>
        <v/>
      </c>
      <c r="DH11" t="str">
        <f t="shared" si="11"/>
        <v/>
      </c>
      <c r="DN11" t="str">
        <f ca="1" t="shared" si="12"/>
        <v/>
      </c>
      <c r="DW11" t="str">
        <f t="shared" si="13"/>
        <v/>
      </c>
      <c r="ER11" t="str">
        <f>IF(B11="","",step01标题尺码信息!$T$37)</f>
        <v/>
      </c>
      <c r="ES11" t="str">
        <f t="shared" si="14"/>
        <v/>
      </c>
      <c r="HF11" t="str">
        <f>IF(B11="","",step01标题尺码信息!$S$2)</f>
        <v/>
      </c>
      <c r="HH11" t="str">
        <f t="shared" si="15"/>
        <v/>
      </c>
      <c r="HI11" t="str">
        <f t="shared" si="16"/>
        <v/>
      </c>
      <c r="HL11" t="str">
        <f t="shared" si="17"/>
        <v/>
      </c>
      <c r="IA11" t="str">
        <f t="shared" si="18"/>
        <v/>
      </c>
    </row>
    <row r="12" spans="1:258">
      <c r="A12" t="str">
        <f>IF(B12="","",step01标题尺码信息!$B$3)</f>
        <v/>
      </c>
      <c r="B12" t="str">
        <f>IF(step01标题尺码信息!G14="","",step01标题尺码信息!G14)</f>
        <v/>
      </c>
      <c r="C12" t="str">
        <f>IF(B12="","",step01标题尺码信息!$E$3)</f>
        <v/>
      </c>
      <c r="D12" t="str">
        <f t="shared" si="0"/>
        <v/>
      </c>
      <c r="E12" t="str">
        <f ca="1">IF(B12="","",VLOOKUP(B12,step01标题尺码信息!G:P,4,0))</f>
        <v/>
      </c>
      <c r="H12" t="str">
        <f>IF(B12="","",step01标题尺码信息!$R$19)</f>
        <v/>
      </c>
      <c r="I12" t="str">
        <f t="shared" si="1"/>
        <v/>
      </c>
      <c r="M12" t="str">
        <f t="shared" si="2"/>
        <v/>
      </c>
      <c r="U12" t="str">
        <f>IF(B12="","",step01标题尺码信息!$S$1)</f>
        <v/>
      </c>
      <c r="V12" t="str">
        <f t="shared" si="3"/>
        <v/>
      </c>
      <c r="W12" t="str">
        <f>IF(B12="","",step01标题尺码信息!$V$1)</f>
        <v/>
      </c>
      <c r="X12" t="str">
        <f>IF(B12="","",step01标题尺码信息!$V$2)</f>
        <v/>
      </c>
      <c r="Y12" t="str">
        <f t="shared" si="4"/>
        <v/>
      </c>
      <c r="Z12" t="str">
        <f t="shared" si="5"/>
        <v/>
      </c>
      <c r="AA12" t="str">
        <f ca="1">IF(B12="","",IF(CB12="Parent","",VLOOKUP(B12,step01标题尺码信息!G:P,9,0)))</f>
        <v/>
      </c>
      <c r="AG12" t="str">
        <f t="shared" si="19"/>
        <v/>
      </c>
      <c r="AH12" t="str">
        <f t="shared" si="20"/>
        <v/>
      </c>
      <c r="AI12" t="str">
        <f ca="1">IF(OR(B12="",VLOOKUP(BH12,step02图片链接!B:E,4,0)=""),"",VLOOKUP(BH12,step02图片链接!B:E,4,0))</f>
        <v/>
      </c>
      <c r="AJ12" t="str">
        <f ca="1">IF(OR(B12="",VLOOKUP(BH12,step02图片链接!B:G,6,0)=""),"",VLOOKUP(BH12,step02图片链接!B:G,6,0))</f>
        <v/>
      </c>
      <c r="AK12" t="str">
        <f ca="1">IF(OR(B12="",VLOOKUP(BH12,step02图片链接!B:H,7,0)=""),"",VLOOKUP(BH12,step02图片链接!B:H,7,0))</f>
        <v/>
      </c>
      <c r="AL12" t="str">
        <f ca="1">IF(OR(B12="",VLOOKUP(BH12,step02图片链接!B:I,8,0)=""),"",VLOOKUP(BH12,step02图片链接!B:I,8,0))</f>
        <v/>
      </c>
      <c r="AM12" t="str">
        <f ca="1">IF(OR(B12="",VLOOKUP(BH12,step02图片链接!B:J,9,0)=""),"",VLOOKUP(BH12,step02图片链接!B:J,9,0))</f>
        <v/>
      </c>
      <c r="AN12" t="str">
        <f ca="1">IF(OR(B12="",VLOOKUP(BH12,step02图片链接!B:K,10,0)=""),"",VLOOKUP(BH12,step02图片链接!B:K,10,0))</f>
        <v/>
      </c>
      <c r="AO12" t="str">
        <f ca="1">IF(OR(B12="",VLOOKUP(BH12,step02图片链接!B:L,11,0)=""),"",VLOOKUP(BH12,step02图片链接!B:L,11,0))</f>
        <v/>
      </c>
      <c r="AP12" t="str">
        <f ca="1">IF(OR(B12="",VLOOKUP(BH12,step02图片链接!B:M,12,0)=""),"",VLOOKUP(BH12,step02图片链接!B:M,12,0))</f>
        <v/>
      </c>
      <c r="AQ12" t="str">
        <f ca="1">IF(OR(B12="",VLOOKUP(BH12,step02图片链接!B:N,13,0)=""),"",VLOOKUP(BH12,step02图片链接!B:N,13,0))</f>
        <v/>
      </c>
      <c r="AS12" t="str">
        <f t="shared" si="21"/>
        <v/>
      </c>
      <c r="AT12" t="str">
        <f t="shared" si="22"/>
        <v/>
      </c>
      <c r="AU12" t="str">
        <f t="shared" si="6"/>
        <v/>
      </c>
      <c r="AV12" t="str">
        <f>IF(B12="","",step01标题尺码信息!$T$36)</f>
        <v/>
      </c>
      <c r="AZ12" t="str">
        <f>IF(B12="","",step01标题尺码信息!$S$41)</f>
        <v/>
      </c>
      <c r="BA12" t="str">
        <f>IF(B12="","",step01标题尺码信息!$S$43)</f>
        <v/>
      </c>
      <c r="BB12" t="str">
        <f>IF(B12="","",step01标题尺码信息!$S$45)</f>
        <v/>
      </c>
      <c r="BC12" t="str">
        <f>IF(B12="","",step01标题尺码信息!$S$47)</f>
        <v/>
      </c>
      <c r="BD12" t="str">
        <f>IF(B12="","",step01标题尺码信息!$S$49)</f>
        <v/>
      </c>
      <c r="BE12" t="str">
        <f>IF(B12="","",step01标题尺码信息!$S$53)</f>
        <v/>
      </c>
      <c r="BH12" t="str">
        <f ca="1">IF(B12="","",IF(DX12="Parent","",VLOOKUP(B12,step01标题尺码信息!G:P,7,0)))</f>
        <v/>
      </c>
      <c r="BI12" t="str">
        <f ca="1">IF(B12="","",IF(DX12="Parent","",VLOOKUP(B12,step01标题尺码信息!G:P,8,0)))</f>
        <v/>
      </c>
      <c r="BK12" t="str">
        <f t="shared" si="7"/>
        <v/>
      </c>
      <c r="BL12" t="str">
        <f t="shared" si="8"/>
        <v/>
      </c>
      <c r="BO12" t="str">
        <f t="shared" si="9"/>
        <v/>
      </c>
      <c r="BR12" t="str">
        <f ca="1">IF(B12="","",IF(AS12="Parent","",VLOOKUP(B12,step01标题尺码信息!G:P,9,0)))</f>
        <v/>
      </c>
      <c r="CY12" t="str">
        <f t="shared" si="10"/>
        <v/>
      </c>
      <c r="DG12" t="str">
        <f>IF(B12="","",step01标题尺码信息!$T$30)</f>
        <v/>
      </c>
      <c r="DH12" t="str">
        <f t="shared" si="11"/>
        <v/>
      </c>
      <c r="DN12" t="str">
        <f ca="1" t="shared" si="12"/>
        <v/>
      </c>
      <c r="DW12" t="str">
        <f t="shared" si="13"/>
        <v/>
      </c>
      <c r="ER12" t="str">
        <f>IF(B12="","",step01标题尺码信息!$T$37)</f>
        <v/>
      </c>
      <c r="ES12" t="str">
        <f t="shared" si="14"/>
        <v/>
      </c>
      <c r="HF12" t="str">
        <f>IF(B12="","",step01标题尺码信息!$S$2)</f>
        <v/>
      </c>
      <c r="HH12" t="str">
        <f t="shared" si="15"/>
        <v/>
      </c>
      <c r="HI12" t="str">
        <f t="shared" si="16"/>
        <v/>
      </c>
      <c r="HL12" t="str">
        <f t="shared" si="17"/>
        <v/>
      </c>
      <c r="IA12" t="str">
        <f t="shared" si="18"/>
        <v/>
      </c>
    </row>
    <row r="13" spans="1:258">
      <c r="A13" t="str">
        <f>IF(B13="","",step01标题尺码信息!$B$3)</f>
        <v/>
      </c>
      <c r="B13" t="str">
        <f>IF(step01标题尺码信息!G15="","",step01标题尺码信息!G15)</f>
        <v/>
      </c>
      <c r="C13" t="str">
        <f>IF(B13="","",step01标题尺码信息!$E$3)</f>
        <v/>
      </c>
      <c r="D13" t="str">
        <f t="shared" si="0"/>
        <v/>
      </c>
      <c r="E13" t="str">
        <f ca="1">IF(B13="","",VLOOKUP(B13,step01标题尺码信息!G:P,4,0))</f>
        <v/>
      </c>
      <c r="H13" t="str">
        <f>IF(B13="","",step01标题尺码信息!$R$19)</f>
        <v/>
      </c>
      <c r="I13" t="str">
        <f t="shared" si="1"/>
        <v/>
      </c>
      <c r="M13" t="str">
        <f t="shared" si="2"/>
        <v/>
      </c>
      <c r="U13" t="str">
        <f>IF(B13="","",step01标题尺码信息!$S$1)</f>
        <v/>
      </c>
      <c r="V13" t="str">
        <f t="shared" si="3"/>
        <v/>
      </c>
      <c r="W13" t="str">
        <f>IF(B13="","",step01标题尺码信息!$V$1)</f>
        <v/>
      </c>
      <c r="X13" t="str">
        <f>IF(B13="","",step01标题尺码信息!$V$2)</f>
        <v/>
      </c>
      <c r="Y13" t="str">
        <f t="shared" si="4"/>
        <v/>
      </c>
      <c r="Z13" t="str">
        <f t="shared" si="5"/>
        <v/>
      </c>
      <c r="AA13" t="str">
        <f ca="1">IF(B13="","",IF(CB13="Parent","",VLOOKUP(B13,step01标题尺码信息!G:P,9,0)))</f>
        <v/>
      </c>
      <c r="AG13" t="str">
        <f t="shared" si="19"/>
        <v/>
      </c>
      <c r="AH13" t="str">
        <f t="shared" si="20"/>
        <v/>
      </c>
      <c r="AI13" t="str">
        <f ca="1">IF(OR(B13="",VLOOKUP(BH13,step02图片链接!B:E,4,0)=""),"",VLOOKUP(BH13,step02图片链接!B:E,4,0))</f>
        <v/>
      </c>
      <c r="AJ13" t="str">
        <f ca="1">IF(OR(B13="",VLOOKUP(BH13,step02图片链接!B:G,6,0)=""),"",VLOOKUP(BH13,step02图片链接!B:G,6,0))</f>
        <v/>
      </c>
      <c r="AK13" t="str">
        <f ca="1">IF(OR(B13="",VLOOKUP(BH13,step02图片链接!B:H,7,0)=""),"",VLOOKUP(BH13,step02图片链接!B:H,7,0))</f>
        <v/>
      </c>
      <c r="AL13" t="str">
        <f ca="1">IF(OR(B13="",VLOOKUP(BH13,step02图片链接!B:I,8,0)=""),"",VLOOKUP(BH13,step02图片链接!B:I,8,0))</f>
        <v/>
      </c>
      <c r="AM13" t="str">
        <f ca="1">IF(OR(B13="",VLOOKUP(BH13,step02图片链接!B:J,9,0)=""),"",VLOOKUP(BH13,step02图片链接!B:J,9,0))</f>
        <v/>
      </c>
      <c r="AN13" t="str">
        <f ca="1">IF(OR(B13="",VLOOKUP(BH13,step02图片链接!B:K,10,0)=""),"",VLOOKUP(BH13,step02图片链接!B:K,10,0))</f>
        <v/>
      </c>
      <c r="AO13" t="str">
        <f ca="1">IF(OR(B13="",VLOOKUP(BH13,step02图片链接!B:L,11,0)=""),"",VLOOKUP(BH13,step02图片链接!B:L,11,0))</f>
        <v/>
      </c>
      <c r="AP13" t="str">
        <f ca="1">IF(OR(B13="",VLOOKUP(BH13,step02图片链接!B:M,12,0)=""),"",VLOOKUP(BH13,step02图片链接!B:M,12,0))</f>
        <v/>
      </c>
      <c r="AQ13" t="str">
        <f ca="1">IF(OR(B13="",VLOOKUP(BH13,step02图片链接!B:N,13,0)=""),"",VLOOKUP(BH13,step02图片链接!B:N,13,0))</f>
        <v/>
      </c>
      <c r="AS13" t="str">
        <f t="shared" si="21"/>
        <v/>
      </c>
      <c r="AT13" t="str">
        <f t="shared" si="22"/>
        <v/>
      </c>
      <c r="AU13" t="str">
        <f t="shared" si="6"/>
        <v/>
      </c>
      <c r="AV13" t="str">
        <f>IF(B13="","",step01标题尺码信息!$T$36)</f>
        <v/>
      </c>
      <c r="AZ13" t="str">
        <f>IF(B13="","",step01标题尺码信息!$S$41)</f>
        <v/>
      </c>
      <c r="BA13" t="str">
        <f>IF(B13="","",step01标题尺码信息!$S$43)</f>
        <v/>
      </c>
      <c r="BB13" t="str">
        <f>IF(B13="","",step01标题尺码信息!$S$45)</f>
        <v/>
      </c>
      <c r="BC13" t="str">
        <f>IF(B13="","",step01标题尺码信息!$S$47)</f>
        <v/>
      </c>
      <c r="BD13" t="str">
        <f>IF(B13="","",step01标题尺码信息!$S$49)</f>
        <v/>
      </c>
      <c r="BE13" t="str">
        <f>IF(B13="","",step01标题尺码信息!$S$53)</f>
        <v/>
      </c>
      <c r="BH13" t="str">
        <f ca="1">IF(B13="","",IF(DX13="Parent","",VLOOKUP(B13,step01标题尺码信息!G:P,7,0)))</f>
        <v/>
      </c>
      <c r="BI13" t="str">
        <f ca="1">IF(B13="","",IF(DX13="Parent","",VLOOKUP(B13,step01标题尺码信息!G:P,8,0)))</f>
        <v/>
      </c>
      <c r="BK13" t="str">
        <f t="shared" si="7"/>
        <v/>
      </c>
      <c r="BL13" t="str">
        <f t="shared" si="8"/>
        <v/>
      </c>
      <c r="BO13" t="str">
        <f t="shared" si="9"/>
        <v/>
      </c>
      <c r="BR13" t="str">
        <f ca="1">IF(B13="","",IF(AS13="Parent","",VLOOKUP(B13,step01标题尺码信息!G:P,9,0)))</f>
        <v/>
      </c>
      <c r="CY13" t="str">
        <f t="shared" si="10"/>
        <v/>
      </c>
      <c r="DG13" t="str">
        <f>IF(B13="","",step01标题尺码信息!$T$30)</f>
        <v/>
      </c>
      <c r="DH13" t="str">
        <f t="shared" si="11"/>
        <v/>
      </c>
      <c r="DN13" t="str">
        <f ca="1" t="shared" si="12"/>
        <v/>
      </c>
      <c r="DW13" t="str">
        <f t="shared" si="13"/>
        <v/>
      </c>
      <c r="ER13" t="str">
        <f>IF(B13="","",step01标题尺码信息!$T$37)</f>
        <v/>
      </c>
      <c r="ES13" t="str">
        <f t="shared" si="14"/>
        <v/>
      </c>
      <c r="HF13" t="str">
        <f>IF(B13="","",step01标题尺码信息!$S$2)</f>
        <v/>
      </c>
      <c r="HH13" t="str">
        <f t="shared" si="15"/>
        <v/>
      </c>
      <c r="HI13" t="str">
        <f t="shared" si="16"/>
        <v/>
      </c>
      <c r="HL13" t="str">
        <f t="shared" si="17"/>
        <v/>
      </c>
      <c r="IA13" t="str">
        <f t="shared" si="18"/>
        <v/>
      </c>
    </row>
    <row r="14" spans="1:258">
      <c r="A14" t="str">
        <f>IF(B14="","",step01标题尺码信息!$B$3)</f>
        <v/>
      </c>
      <c r="B14" t="str">
        <f>IF(step01标题尺码信息!G16="","",step01标题尺码信息!G16)</f>
        <v/>
      </c>
      <c r="C14" t="str">
        <f>IF(B14="","",step01标题尺码信息!$E$3)</f>
        <v/>
      </c>
      <c r="D14" t="str">
        <f t="shared" si="0"/>
        <v/>
      </c>
      <c r="E14" t="str">
        <f ca="1">IF(B14="","",VLOOKUP(B14,step01标题尺码信息!G:P,4,0))</f>
        <v/>
      </c>
      <c r="H14" t="str">
        <f>IF(B14="","",step01标题尺码信息!$R$19)</f>
        <v/>
      </c>
      <c r="I14" t="str">
        <f t="shared" si="1"/>
        <v/>
      </c>
      <c r="M14" t="str">
        <f t="shared" si="2"/>
        <v/>
      </c>
      <c r="U14" t="str">
        <f>IF(B14="","",step01标题尺码信息!$S$1)</f>
        <v/>
      </c>
      <c r="V14" t="str">
        <f t="shared" si="3"/>
        <v/>
      </c>
      <c r="W14" t="str">
        <f>IF(B14="","",step01标题尺码信息!$V$1)</f>
        <v/>
      </c>
      <c r="X14" t="str">
        <f>IF(B14="","",step01标题尺码信息!$V$2)</f>
        <v/>
      </c>
      <c r="Y14" t="str">
        <f t="shared" si="4"/>
        <v/>
      </c>
      <c r="Z14" t="str">
        <f t="shared" si="5"/>
        <v/>
      </c>
      <c r="AA14" t="str">
        <f ca="1">IF(B14="","",IF(CB14="Parent","",VLOOKUP(B14,step01标题尺码信息!G:P,9,0)))</f>
        <v/>
      </c>
      <c r="AG14" t="str">
        <f t="shared" si="19"/>
        <v/>
      </c>
      <c r="AH14" t="str">
        <f t="shared" si="20"/>
        <v/>
      </c>
      <c r="AI14" t="str">
        <f ca="1">IF(OR(B14="",VLOOKUP(BH14,step02图片链接!B:E,4,0)=""),"",VLOOKUP(BH14,step02图片链接!B:E,4,0))</f>
        <v/>
      </c>
      <c r="AJ14" t="str">
        <f ca="1">IF(OR(B14="",VLOOKUP(BH14,step02图片链接!B:G,6,0)=""),"",VLOOKUP(BH14,step02图片链接!B:G,6,0))</f>
        <v/>
      </c>
      <c r="AK14" t="str">
        <f ca="1">IF(OR(B14="",VLOOKUP(BH14,step02图片链接!B:H,7,0)=""),"",VLOOKUP(BH14,step02图片链接!B:H,7,0))</f>
        <v/>
      </c>
      <c r="AL14" t="str">
        <f ca="1">IF(OR(B14="",VLOOKUP(BH14,step02图片链接!B:I,8,0)=""),"",VLOOKUP(BH14,step02图片链接!B:I,8,0))</f>
        <v/>
      </c>
      <c r="AM14" t="str">
        <f ca="1">IF(OR(B14="",VLOOKUP(BH14,step02图片链接!B:J,9,0)=""),"",VLOOKUP(BH14,step02图片链接!B:J,9,0))</f>
        <v/>
      </c>
      <c r="AN14" t="str">
        <f ca="1">IF(OR(B14="",VLOOKUP(BH14,step02图片链接!B:K,10,0)=""),"",VLOOKUP(BH14,step02图片链接!B:K,10,0))</f>
        <v/>
      </c>
      <c r="AO14" t="str">
        <f ca="1">IF(OR(B14="",VLOOKUP(BH14,step02图片链接!B:L,11,0)=""),"",VLOOKUP(BH14,step02图片链接!B:L,11,0))</f>
        <v/>
      </c>
      <c r="AP14" t="str">
        <f ca="1">IF(OR(B14="",VLOOKUP(BH14,step02图片链接!B:M,12,0)=""),"",VLOOKUP(BH14,step02图片链接!B:M,12,0))</f>
        <v/>
      </c>
      <c r="AQ14" t="str">
        <f ca="1">IF(OR(B14="",VLOOKUP(BH14,step02图片链接!B:N,13,0)=""),"",VLOOKUP(BH14,step02图片链接!B:N,13,0))</f>
        <v/>
      </c>
      <c r="AS14" t="str">
        <f t="shared" si="21"/>
        <v/>
      </c>
      <c r="AT14" t="str">
        <f t="shared" si="22"/>
        <v/>
      </c>
      <c r="AU14" t="str">
        <f t="shared" si="6"/>
        <v/>
      </c>
      <c r="AV14" t="str">
        <f>IF(B14="","",step01标题尺码信息!$T$36)</f>
        <v/>
      </c>
      <c r="AZ14" t="str">
        <f>IF(B14="","",step01标题尺码信息!$S$41)</f>
        <v/>
      </c>
      <c r="BA14" t="str">
        <f>IF(B14="","",step01标题尺码信息!$S$43)</f>
        <v/>
      </c>
      <c r="BB14" t="str">
        <f>IF(B14="","",step01标题尺码信息!$S$45)</f>
        <v/>
      </c>
      <c r="BC14" t="str">
        <f>IF(B14="","",step01标题尺码信息!$S$47)</f>
        <v/>
      </c>
      <c r="BD14" t="str">
        <f>IF(B14="","",step01标题尺码信息!$S$49)</f>
        <v/>
      </c>
      <c r="BE14" t="str">
        <f>IF(B14="","",step01标题尺码信息!$S$53)</f>
        <v/>
      </c>
      <c r="BH14" t="str">
        <f ca="1">IF(B14="","",IF(DX14="Parent","",VLOOKUP(B14,step01标题尺码信息!G:P,7,0)))</f>
        <v/>
      </c>
      <c r="BI14" t="str">
        <f ca="1">IF(B14="","",IF(DX14="Parent","",VLOOKUP(B14,step01标题尺码信息!G:P,8,0)))</f>
        <v/>
      </c>
      <c r="BK14" t="str">
        <f t="shared" si="7"/>
        <v/>
      </c>
      <c r="BL14" t="str">
        <f t="shared" si="8"/>
        <v/>
      </c>
      <c r="BO14" t="str">
        <f t="shared" si="9"/>
        <v/>
      </c>
      <c r="BR14" t="str">
        <f ca="1">IF(B14="","",IF(AS14="Parent","",VLOOKUP(B14,step01标题尺码信息!G:P,9,0)))</f>
        <v/>
      </c>
      <c r="CY14" t="str">
        <f t="shared" si="10"/>
        <v/>
      </c>
      <c r="DG14" t="str">
        <f>IF(B14="","",step01标题尺码信息!$T$30)</f>
        <v/>
      </c>
      <c r="DH14" t="str">
        <f t="shared" si="11"/>
        <v/>
      </c>
      <c r="DN14" t="str">
        <f ca="1" t="shared" si="12"/>
        <v/>
      </c>
      <c r="DW14" t="str">
        <f t="shared" si="13"/>
        <v/>
      </c>
      <c r="ER14" t="str">
        <f>IF(B14="","",step01标题尺码信息!$T$37)</f>
        <v/>
      </c>
      <c r="ES14" t="str">
        <f t="shared" si="14"/>
        <v/>
      </c>
      <c r="HF14" t="str">
        <f>IF(B14="","",step01标题尺码信息!$S$2)</f>
        <v/>
      </c>
      <c r="HH14" t="str">
        <f t="shared" si="15"/>
        <v/>
      </c>
      <c r="HI14" t="str">
        <f t="shared" si="16"/>
        <v/>
      </c>
      <c r="HL14" t="str">
        <f t="shared" si="17"/>
        <v/>
      </c>
      <c r="IA14" t="str">
        <f t="shared" si="18"/>
        <v/>
      </c>
    </row>
    <row r="15" spans="1:258">
      <c r="A15" t="str">
        <f>IF(B15="","",step01标题尺码信息!$B$3)</f>
        <v/>
      </c>
      <c r="B15" t="str">
        <f>IF(step01标题尺码信息!G17="","",step01标题尺码信息!G17)</f>
        <v/>
      </c>
      <c r="C15" t="str">
        <f>IF(B15="","",step01标题尺码信息!$E$3)</f>
        <v/>
      </c>
      <c r="D15" t="str">
        <f t="shared" si="0"/>
        <v/>
      </c>
      <c r="E15" t="str">
        <f ca="1">IF(B15="","",VLOOKUP(B15,step01标题尺码信息!G:P,4,0))</f>
        <v/>
      </c>
      <c r="H15" t="str">
        <f>IF(B15="","",step01标题尺码信息!$R$19)</f>
        <v/>
      </c>
      <c r="I15" t="str">
        <f t="shared" si="1"/>
        <v/>
      </c>
      <c r="M15" t="str">
        <f t="shared" si="2"/>
        <v/>
      </c>
      <c r="U15" t="str">
        <f>IF(B15="","",step01标题尺码信息!$S$1)</f>
        <v/>
      </c>
      <c r="V15" t="str">
        <f t="shared" si="3"/>
        <v/>
      </c>
      <c r="W15" t="str">
        <f>IF(B15="","",step01标题尺码信息!$V$1)</f>
        <v/>
      </c>
      <c r="X15" t="str">
        <f>IF(B15="","",step01标题尺码信息!$V$2)</f>
        <v/>
      </c>
      <c r="Y15" t="str">
        <f t="shared" si="4"/>
        <v/>
      </c>
      <c r="Z15" t="str">
        <f t="shared" si="5"/>
        <v/>
      </c>
      <c r="AA15" t="str">
        <f ca="1">IF(B15="","",IF(CB15="Parent","",VLOOKUP(B15,step01标题尺码信息!G:P,9,0)))</f>
        <v/>
      </c>
      <c r="AG15" t="str">
        <f t="shared" si="19"/>
        <v/>
      </c>
      <c r="AH15" t="str">
        <f t="shared" si="20"/>
        <v/>
      </c>
      <c r="AI15" t="str">
        <f ca="1">IF(OR(B15="",VLOOKUP(BH15,step02图片链接!B:E,4,0)=""),"",VLOOKUP(BH15,step02图片链接!B:E,4,0))</f>
        <v/>
      </c>
      <c r="AJ15" t="str">
        <f ca="1">IF(OR(B15="",VLOOKUP(BH15,step02图片链接!B:G,6,0)=""),"",VLOOKUP(BH15,step02图片链接!B:G,6,0))</f>
        <v/>
      </c>
      <c r="AK15" t="str">
        <f ca="1">IF(OR(B15="",VLOOKUP(BH15,step02图片链接!B:H,7,0)=""),"",VLOOKUP(BH15,step02图片链接!B:H,7,0))</f>
        <v/>
      </c>
      <c r="AL15" t="str">
        <f ca="1">IF(OR(B15="",VLOOKUP(BH15,step02图片链接!B:I,8,0)=""),"",VLOOKUP(BH15,step02图片链接!B:I,8,0))</f>
        <v/>
      </c>
      <c r="AM15" t="str">
        <f ca="1">IF(OR(B15="",VLOOKUP(BH15,step02图片链接!B:J,9,0)=""),"",VLOOKUP(BH15,step02图片链接!B:J,9,0))</f>
        <v/>
      </c>
      <c r="AN15" t="str">
        <f ca="1">IF(OR(B15="",VLOOKUP(BH15,step02图片链接!B:K,10,0)=""),"",VLOOKUP(BH15,step02图片链接!B:K,10,0))</f>
        <v/>
      </c>
      <c r="AO15" t="str">
        <f ca="1">IF(OR(B15="",VLOOKUP(BH15,step02图片链接!B:L,11,0)=""),"",VLOOKUP(BH15,step02图片链接!B:L,11,0))</f>
        <v/>
      </c>
      <c r="AP15" t="str">
        <f ca="1">IF(OR(B15="",VLOOKUP(BH15,step02图片链接!B:M,12,0)=""),"",VLOOKUP(BH15,step02图片链接!B:M,12,0))</f>
        <v/>
      </c>
      <c r="AQ15" t="str">
        <f ca="1">IF(OR(B15="",VLOOKUP(BH15,step02图片链接!B:N,13,0)=""),"",VLOOKUP(BH15,step02图片链接!B:N,13,0))</f>
        <v/>
      </c>
      <c r="AS15" t="str">
        <f t="shared" si="21"/>
        <v/>
      </c>
      <c r="AT15" t="str">
        <f t="shared" si="22"/>
        <v/>
      </c>
      <c r="AU15" t="str">
        <f t="shared" si="6"/>
        <v/>
      </c>
      <c r="AV15" t="str">
        <f>IF(B15="","",step01标题尺码信息!$T$36)</f>
        <v/>
      </c>
      <c r="AZ15" t="str">
        <f>IF(B15="","",step01标题尺码信息!$S$41)</f>
        <v/>
      </c>
      <c r="BA15" t="str">
        <f>IF(B15="","",step01标题尺码信息!$S$43)</f>
        <v/>
      </c>
      <c r="BB15" t="str">
        <f>IF(B15="","",step01标题尺码信息!$S$45)</f>
        <v/>
      </c>
      <c r="BC15" t="str">
        <f>IF(B15="","",step01标题尺码信息!$S$47)</f>
        <v/>
      </c>
      <c r="BD15" t="str">
        <f>IF(B15="","",step01标题尺码信息!$S$49)</f>
        <v/>
      </c>
      <c r="BE15" t="str">
        <f>IF(B15="","",step01标题尺码信息!$S$53)</f>
        <v/>
      </c>
      <c r="BH15" t="str">
        <f ca="1">IF(B15="","",IF(DX15="Parent","",VLOOKUP(B15,step01标题尺码信息!G:P,7,0)))</f>
        <v/>
      </c>
      <c r="BI15" t="str">
        <f ca="1">IF(B15="","",IF(DX15="Parent","",VLOOKUP(B15,step01标题尺码信息!G:P,8,0)))</f>
        <v/>
      </c>
      <c r="BK15" t="str">
        <f t="shared" si="7"/>
        <v/>
      </c>
      <c r="BL15" t="str">
        <f t="shared" si="8"/>
        <v/>
      </c>
      <c r="BO15" t="str">
        <f t="shared" si="9"/>
        <v/>
      </c>
      <c r="BR15" t="str">
        <f ca="1">IF(B15="","",IF(AS15="Parent","",VLOOKUP(B15,step01标题尺码信息!G:P,9,0)))</f>
        <v/>
      </c>
      <c r="CY15" t="str">
        <f t="shared" si="10"/>
        <v/>
      </c>
      <c r="DG15" t="str">
        <f>IF(B15="","",step01标题尺码信息!$T$30)</f>
        <v/>
      </c>
      <c r="DH15" t="str">
        <f t="shared" si="11"/>
        <v/>
      </c>
      <c r="DN15" t="str">
        <f ca="1" t="shared" si="12"/>
        <v/>
      </c>
      <c r="DW15" t="str">
        <f t="shared" si="13"/>
        <v/>
      </c>
      <c r="ER15" t="str">
        <f>IF(B15="","",step01标题尺码信息!$T$37)</f>
        <v/>
      </c>
      <c r="ES15" t="str">
        <f t="shared" si="14"/>
        <v/>
      </c>
      <c r="HF15" t="str">
        <f>IF(B15="","",step01标题尺码信息!$S$2)</f>
        <v/>
      </c>
      <c r="HH15" t="str">
        <f t="shared" si="15"/>
        <v/>
      </c>
      <c r="HI15" t="str">
        <f t="shared" si="16"/>
        <v/>
      </c>
      <c r="HL15" t="str">
        <f t="shared" si="17"/>
        <v/>
      </c>
      <c r="IA15" t="str">
        <f t="shared" si="18"/>
        <v/>
      </c>
    </row>
    <row r="16" spans="1:258">
      <c r="A16" t="str">
        <f>IF(B16="","",step01标题尺码信息!$B$3)</f>
        <v/>
      </c>
      <c r="B16" t="str">
        <f>IF(step01标题尺码信息!G18="","",step01标题尺码信息!G18)</f>
        <v/>
      </c>
      <c r="C16" t="str">
        <f>IF(B16="","",step01标题尺码信息!$E$3)</f>
        <v/>
      </c>
      <c r="D16" t="str">
        <f t="shared" si="0"/>
        <v/>
      </c>
      <c r="E16" t="str">
        <f ca="1">IF(B16="","",VLOOKUP(B16,step01标题尺码信息!G:P,4,0))</f>
        <v/>
      </c>
      <c r="H16" t="str">
        <f>IF(B16="","",step01标题尺码信息!$R$19)</f>
        <v/>
      </c>
      <c r="I16" t="str">
        <f t="shared" si="1"/>
        <v/>
      </c>
      <c r="M16" t="str">
        <f t="shared" si="2"/>
        <v/>
      </c>
      <c r="U16" t="str">
        <f>IF(B16="","",step01标题尺码信息!$S$1)</f>
        <v/>
      </c>
      <c r="V16" t="str">
        <f t="shared" si="3"/>
        <v/>
      </c>
      <c r="W16" t="str">
        <f>IF(B16="","",step01标题尺码信息!$V$1)</f>
        <v/>
      </c>
      <c r="X16" t="str">
        <f>IF(B16="","",step01标题尺码信息!$V$2)</f>
        <v/>
      </c>
      <c r="Y16" t="str">
        <f t="shared" si="4"/>
        <v/>
      </c>
      <c r="Z16" t="str">
        <f t="shared" si="5"/>
        <v/>
      </c>
      <c r="AA16" t="str">
        <f ca="1">IF(B16="","",IF(CB16="Parent","",VLOOKUP(B16,step01标题尺码信息!G:P,9,0)))</f>
        <v/>
      </c>
      <c r="AG16" t="str">
        <f t="shared" si="19"/>
        <v/>
      </c>
      <c r="AH16" t="str">
        <f t="shared" si="20"/>
        <v/>
      </c>
      <c r="AI16" t="str">
        <f ca="1">IF(OR(B16="",VLOOKUP(BH16,step02图片链接!B:E,4,0)=""),"",VLOOKUP(BH16,step02图片链接!B:E,4,0))</f>
        <v/>
      </c>
      <c r="AJ16" t="str">
        <f ca="1">IF(OR(B16="",VLOOKUP(BH16,step02图片链接!B:G,6,0)=""),"",VLOOKUP(BH16,step02图片链接!B:G,6,0))</f>
        <v/>
      </c>
      <c r="AK16" t="str">
        <f ca="1">IF(OR(B16="",VLOOKUP(BH16,step02图片链接!B:H,7,0)=""),"",VLOOKUP(BH16,step02图片链接!B:H,7,0))</f>
        <v/>
      </c>
      <c r="AL16" t="str">
        <f ca="1">IF(OR(B16="",VLOOKUP(BH16,step02图片链接!B:I,8,0)=""),"",VLOOKUP(BH16,step02图片链接!B:I,8,0))</f>
        <v/>
      </c>
      <c r="AM16" t="str">
        <f ca="1">IF(OR(B16="",VLOOKUP(BH16,step02图片链接!B:J,9,0)=""),"",VLOOKUP(BH16,step02图片链接!B:J,9,0))</f>
        <v/>
      </c>
      <c r="AN16" t="str">
        <f ca="1">IF(OR(B16="",VLOOKUP(BH16,step02图片链接!B:K,10,0)=""),"",VLOOKUP(BH16,step02图片链接!B:K,10,0))</f>
        <v/>
      </c>
      <c r="AO16" t="str">
        <f ca="1">IF(OR(B16="",VLOOKUP(BH16,step02图片链接!B:L,11,0)=""),"",VLOOKUP(BH16,step02图片链接!B:L,11,0))</f>
        <v/>
      </c>
      <c r="AP16" t="str">
        <f ca="1">IF(OR(B16="",VLOOKUP(BH16,step02图片链接!B:M,12,0)=""),"",VLOOKUP(BH16,step02图片链接!B:M,12,0))</f>
        <v/>
      </c>
      <c r="AQ16" t="str">
        <f ca="1">IF(OR(B16="",VLOOKUP(BH16,step02图片链接!B:N,13,0)=""),"",VLOOKUP(BH16,step02图片链接!B:N,13,0))</f>
        <v/>
      </c>
      <c r="AS16" t="str">
        <f t="shared" si="21"/>
        <v/>
      </c>
      <c r="AT16" t="str">
        <f t="shared" si="22"/>
        <v/>
      </c>
      <c r="AU16" t="str">
        <f t="shared" si="6"/>
        <v/>
      </c>
      <c r="AV16" t="str">
        <f>IF(B16="","",step01标题尺码信息!$T$36)</f>
        <v/>
      </c>
      <c r="AZ16" t="str">
        <f>IF(B16="","",step01标题尺码信息!$S$41)</f>
        <v/>
      </c>
      <c r="BA16" t="str">
        <f>IF(B16="","",step01标题尺码信息!$S$43)</f>
        <v/>
      </c>
      <c r="BB16" t="str">
        <f>IF(B16="","",step01标题尺码信息!$S$45)</f>
        <v/>
      </c>
      <c r="BC16" t="str">
        <f>IF(B16="","",step01标题尺码信息!$S$47)</f>
        <v/>
      </c>
      <c r="BD16" t="str">
        <f>IF(B16="","",step01标题尺码信息!$S$49)</f>
        <v/>
      </c>
      <c r="BE16" t="str">
        <f>IF(B16="","",step01标题尺码信息!$S$53)</f>
        <v/>
      </c>
      <c r="BH16" t="str">
        <f ca="1">IF(B16="","",IF(DX16="Parent","",VLOOKUP(B16,step01标题尺码信息!G:P,7,0)))</f>
        <v/>
      </c>
      <c r="BI16" t="str">
        <f ca="1">IF(B16="","",IF(DX16="Parent","",VLOOKUP(B16,step01标题尺码信息!G:P,8,0)))</f>
        <v/>
      </c>
      <c r="BK16" t="str">
        <f t="shared" si="7"/>
        <v/>
      </c>
      <c r="BL16" t="str">
        <f t="shared" si="8"/>
        <v/>
      </c>
      <c r="BO16" t="str">
        <f t="shared" si="9"/>
        <v/>
      </c>
      <c r="BR16" t="str">
        <f ca="1">IF(B16="","",IF(AS16="Parent","",VLOOKUP(B16,step01标题尺码信息!G:P,9,0)))</f>
        <v/>
      </c>
      <c r="CY16" t="str">
        <f t="shared" si="10"/>
        <v/>
      </c>
      <c r="DG16" t="str">
        <f>IF(B16="","",step01标题尺码信息!$T$30)</f>
        <v/>
      </c>
      <c r="DH16" t="str">
        <f t="shared" si="11"/>
        <v/>
      </c>
      <c r="DN16" t="str">
        <f ca="1" t="shared" si="12"/>
        <v/>
      </c>
      <c r="DW16" t="str">
        <f t="shared" si="13"/>
        <v/>
      </c>
      <c r="ER16" t="str">
        <f>IF(B16="","",step01标题尺码信息!$T$37)</f>
        <v/>
      </c>
      <c r="ES16" t="str">
        <f t="shared" si="14"/>
        <v/>
      </c>
      <c r="HF16" t="str">
        <f>IF(B16="","",step01标题尺码信息!$S$2)</f>
        <v/>
      </c>
      <c r="HH16" t="str">
        <f t="shared" si="15"/>
        <v/>
      </c>
      <c r="HI16" t="str">
        <f t="shared" si="16"/>
        <v/>
      </c>
      <c r="HL16" t="str">
        <f t="shared" si="17"/>
        <v/>
      </c>
      <c r="IA16" t="str">
        <f t="shared" si="18"/>
        <v/>
      </c>
    </row>
    <row r="17" spans="1:235">
      <c r="A17" t="str">
        <f>IF(B17="","",step01标题尺码信息!$B$3)</f>
        <v/>
      </c>
      <c r="B17" t="str">
        <f>IF(step01标题尺码信息!G19="","",step01标题尺码信息!G19)</f>
        <v/>
      </c>
      <c r="C17" t="str">
        <f>IF(B17="","",step01标题尺码信息!$E$3)</f>
        <v/>
      </c>
      <c r="D17" t="str">
        <f t="shared" si="0"/>
        <v/>
      </c>
      <c r="E17" t="str">
        <f ca="1">IF(B17="","",VLOOKUP(B17,step01标题尺码信息!G:P,4,0))</f>
        <v/>
      </c>
      <c r="H17" t="str">
        <f>IF(B17="","",step01标题尺码信息!$R$19)</f>
        <v/>
      </c>
      <c r="I17" t="str">
        <f t="shared" si="1"/>
        <v/>
      </c>
      <c r="M17" t="str">
        <f t="shared" si="2"/>
        <v/>
      </c>
      <c r="U17" t="str">
        <f>IF(B17="","",step01标题尺码信息!$S$1)</f>
        <v/>
      </c>
      <c r="V17" t="str">
        <f t="shared" si="3"/>
        <v/>
      </c>
      <c r="W17" t="str">
        <f>IF(B17="","",step01标题尺码信息!$V$1)</f>
        <v/>
      </c>
      <c r="X17" t="str">
        <f>IF(B17="","",step01标题尺码信息!$V$2)</f>
        <v/>
      </c>
      <c r="Y17" t="str">
        <f t="shared" si="4"/>
        <v/>
      </c>
      <c r="Z17" t="str">
        <f t="shared" si="5"/>
        <v/>
      </c>
      <c r="AA17" t="str">
        <f ca="1">IF(B17="","",IF(CB17="Parent","",VLOOKUP(B17,step01标题尺码信息!G:P,9,0)))</f>
        <v/>
      </c>
      <c r="AG17" t="str">
        <f t="shared" si="19"/>
        <v/>
      </c>
      <c r="AH17" t="str">
        <f t="shared" si="20"/>
        <v/>
      </c>
      <c r="AI17" t="str">
        <f ca="1">IF(OR(B17="",VLOOKUP(BH17,step02图片链接!B:E,4,0)=""),"",VLOOKUP(BH17,step02图片链接!B:E,4,0))</f>
        <v/>
      </c>
      <c r="AJ17" t="str">
        <f ca="1">IF(OR(B17="",VLOOKUP(BH17,step02图片链接!B:G,6,0)=""),"",VLOOKUP(BH17,step02图片链接!B:G,6,0))</f>
        <v/>
      </c>
      <c r="AK17" t="str">
        <f ca="1">IF(OR(B17="",VLOOKUP(BH17,step02图片链接!B:H,7,0)=""),"",VLOOKUP(BH17,step02图片链接!B:H,7,0))</f>
        <v/>
      </c>
      <c r="AL17" t="str">
        <f ca="1">IF(OR(B17="",VLOOKUP(BH17,step02图片链接!B:I,8,0)=""),"",VLOOKUP(BH17,step02图片链接!B:I,8,0))</f>
        <v/>
      </c>
      <c r="AM17" t="str">
        <f ca="1">IF(OR(B17="",VLOOKUP(BH17,step02图片链接!B:J,9,0)=""),"",VLOOKUP(BH17,step02图片链接!B:J,9,0))</f>
        <v/>
      </c>
      <c r="AN17" t="str">
        <f ca="1">IF(OR(B17="",VLOOKUP(BH17,step02图片链接!B:K,10,0)=""),"",VLOOKUP(BH17,step02图片链接!B:K,10,0))</f>
        <v/>
      </c>
      <c r="AO17" t="str">
        <f ca="1">IF(OR(B17="",VLOOKUP(BH17,step02图片链接!B:L,11,0)=""),"",VLOOKUP(BH17,step02图片链接!B:L,11,0))</f>
        <v/>
      </c>
      <c r="AP17" t="str">
        <f ca="1">IF(OR(B17="",VLOOKUP(BH17,step02图片链接!B:M,12,0)=""),"",VLOOKUP(BH17,step02图片链接!B:M,12,0))</f>
        <v/>
      </c>
      <c r="AQ17" t="str">
        <f ca="1">IF(OR(B17="",VLOOKUP(BH17,step02图片链接!B:N,13,0)=""),"",VLOOKUP(BH17,step02图片链接!B:N,13,0))</f>
        <v/>
      </c>
      <c r="AS17" t="str">
        <f t="shared" si="21"/>
        <v/>
      </c>
      <c r="AT17" t="str">
        <f t="shared" si="22"/>
        <v/>
      </c>
      <c r="AU17" t="str">
        <f t="shared" si="6"/>
        <v/>
      </c>
      <c r="AV17" t="str">
        <f>IF(B17="","",step01标题尺码信息!$T$36)</f>
        <v/>
      </c>
      <c r="AZ17" t="str">
        <f>IF(B17="","",step01标题尺码信息!$S$41)</f>
        <v/>
      </c>
      <c r="BA17" t="str">
        <f>IF(B17="","",step01标题尺码信息!$S$43)</f>
        <v/>
      </c>
      <c r="BB17" t="str">
        <f>IF(B17="","",step01标题尺码信息!$S$45)</f>
        <v/>
      </c>
      <c r="BC17" t="str">
        <f>IF(B17="","",step01标题尺码信息!$S$47)</f>
        <v/>
      </c>
      <c r="BD17" t="str">
        <f>IF(B17="","",step01标题尺码信息!$S$49)</f>
        <v/>
      </c>
      <c r="BE17" t="str">
        <f>IF(B17="","",step01标题尺码信息!$S$53)</f>
        <v/>
      </c>
      <c r="BH17" t="str">
        <f ca="1">IF(B17="","",IF(DX17="Parent","",VLOOKUP(B17,step01标题尺码信息!G:P,7,0)))</f>
        <v/>
      </c>
      <c r="BI17" t="str">
        <f ca="1">IF(B17="","",IF(DX17="Parent","",VLOOKUP(B17,step01标题尺码信息!G:P,8,0)))</f>
        <v/>
      </c>
      <c r="BK17" t="str">
        <f t="shared" si="7"/>
        <v/>
      </c>
      <c r="BL17" t="str">
        <f t="shared" si="8"/>
        <v/>
      </c>
      <c r="BO17" t="str">
        <f t="shared" si="9"/>
        <v/>
      </c>
      <c r="BR17" t="str">
        <f ca="1">IF(B17="","",IF(AS17="Parent","",VLOOKUP(B17,step01标题尺码信息!G:P,9,0)))</f>
        <v/>
      </c>
      <c r="CY17" t="str">
        <f t="shared" si="10"/>
        <v/>
      </c>
      <c r="DG17" t="str">
        <f>IF(B17="","",step01标题尺码信息!$T$30)</f>
        <v/>
      </c>
      <c r="DH17" t="str">
        <f t="shared" si="11"/>
        <v/>
      </c>
      <c r="DN17" t="str">
        <f ca="1" t="shared" si="12"/>
        <v/>
      </c>
      <c r="DW17" t="str">
        <f t="shared" si="13"/>
        <v/>
      </c>
      <c r="ER17" t="str">
        <f>IF(B17="","",step01标题尺码信息!$T$37)</f>
        <v/>
      </c>
      <c r="ES17" t="str">
        <f t="shared" si="14"/>
        <v/>
      </c>
      <c r="HF17" t="str">
        <f>IF(B17="","",step01标题尺码信息!$S$2)</f>
        <v/>
      </c>
      <c r="HH17" t="str">
        <f t="shared" si="15"/>
        <v/>
      </c>
      <c r="HI17" t="str">
        <f t="shared" si="16"/>
        <v/>
      </c>
      <c r="HL17" t="str">
        <f t="shared" si="17"/>
        <v/>
      </c>
      <c r="IA17" t="str">
        <f t="shared" si="18"/>
        <v/>
      </c>
    </row>
    <row r="18" spans="1:235">
      <c r="A18" t="str">
        <f>IF(B18="","",step01标题尺码信息!$B$3)</f>
        <v/>
      </c>
      <c r="B18" t="str">
        <f>IF(step01标题尺码信息!G20="","",step01标题尺码信息!G20)</f>
        <v/>
      </c>
      <c r="C18" t="str">
        <f>IF(B18="","",step01标题尺码信息!$E$3)</f>
        <v/>
      </c>
      <c r="D18" t="str">
        <f t="shared" si="0"/>
        <v/>
      </c>
      <c r="E18" t="str">
        <f ca="1">IF(B18="","",VLOOKUP(B18,step01标题尺码信息!G:P,4,0))</f>
        <v/>
      </c>
      <c r="H18" t="str">
        <f>IF(B18="","",step01标题尺码信息!$R$19)</f>
        <v/>
      </c>
      <c r="I18" t="str">
        <f t="shared" si="1"/>
        <v/>
      </c>
      <c r="M18" t="str">
        <f t="shared" si="2"/>
        <v/>
      </c>
      <c r="U18" t="str">
        <f>IF(B18="","",step01标题尺码信息!$S$1)</f>
        <v/>
      </c>
      <c r="V18" t="str">
        <f t="shared" si="3"/>
        <v/>
      </c>
      <c r="W18" t="str">
        <f>IF(B18="","",step01标题尺码信息!$V$1)</f>
        <v/>
      </c>
      <c r="X18" t="str">
        <f>IF(B18="","",step01标题尺码信息!$V$2)</f>
        <v/>
      </c>
      <c r="Y18" t="str">
        <f t="shared" si="4"/>
        <v/>
      </c>
      <c r="Z18" t="str">
        <f t="shared" si="5"/>
        <v/>
      </c>
      <c r="AA18" t="str">
        <f ca="1">IF(B18="","",IF(CB18="Parent","",VLOOKUP(B18,step01标题尺码信息!G:P,9,0)))</f>
        <v/>
      </c>
      <c r="AG18" t="str">
        <f t="shared" si="19"/>
        <v/>
      </c>
      <c r="AH18" t="str">
        <f t="shared" si="20"/>
        <v/>
      </c>
      <c r="AI18" t="str">
        <f ca="1">IF(OR(B18="",VLOOKUP(BH18,step02图片链接!B:E,4,0)=""),"",VLOOKUP(BH18,step02图片链接!B:E,4,0))</f>
        <v/>
      </c>
      <c r="AJ18" t="str">
        <f ca="1">IF(OR(B18="",VLOOKUP(BH18,step02图片链接!B:G,6,0)=""),"",VLOOKUP(BH18,step02图片链接!B:G,6,0))</f>
        <v/>
      </c>
      <c r="AK18" t="str">
        <f ca="1">IF(OR(B18="",VLOOKUP(BH18,step02图片链接!B:H,7,0)=""),"",VLOOKUP(BH18,step02图片链接!B:H,7,0))</f>
        <v/>
      </c>
      <c r="AL18" t="str">
        <f ca="1">IF(OR(B18="",VLOOKUP(BH18,step02图片链接!B:I,8,0)=""),"",VLOOKUP(BH18,step02图片链接!B:I,8,0))</f>
        <v/>
      </c>
      <c r="AM18" t="str">
        <f ca="1">IF(OR(B18="",VLOOKUP(BH18,step02图片链接!B:J,9,0)=""),"",VLOOKUP(BH18,step02图片链接!B:J,9,0))</f>
        <v/>
      </c>
      <c r="AN18" t="str">
        <f ca="1">IF(OR(B18="",VLOOKUP(BH18,step02图片链接!B:K,10,0)=""),"",VLOOKUP(BH18,step02图片链接!B:K,10,0))</f>
        <v/>
      </c>
      <c r="AO18" t="str">
        <f ca="1">IF(OR(B18="",VLOOKUP(BH18,step02图片链接!B:L,11,0)=""),"",VLOOKUP(BH18,step02图片链接!B:L,11,0))</f>
        <v/>
      </c>
      <c r="AP18" t="str">
        <f ca="1">IF(OR(B18="",VLOOKUP(BH18,step02图片链接!B:M,12,0)=""),"",VLOOKUP(BH18,step02图片链接!B:M,12,0))</f>
        <v/>
      </c>
      <c r="AQ18" t="str">
        <f ca="1">IF(OR(B18="",VLOOKUP(BH18,step02图片链接!B:N,13,0)=""),"",VLOOKUP(BH18,step02图片链接!B:N,13,0))</f>
        <v/>
      </c>
      <c r="AS18" t="str">
        <f t="shared" si="21"/>
        <v/>
      </c>
      <c r="AT18" t="str">
        <f t="shared" si="22"/>
        <v/>
      </c>
      <c r="AU18" t="str">
        <f t="shared" si="6"/>
        <v/>
      </c>
      <c r="AV18" t="str">
        <f>IF(B18="","",step01标题尺码信息!$T$36)</f>
        <v/>
      </c>
      <c r="AZ18" t="str">
        <f>IF(B18="","",step01标题尺码信息!$S$41)</f>
        <v/>
      </c>
      <c r="BA18" t="str">
        <f>IF(B18="","",step01标题尺码信息!$S$43)</f>
        <v/>
      </c>
      <c r="BB18" t="str">
        <f>IF(B18="","",step01标题尺码信息!$S$45)</f>
        <v/>
      </c>
      <c r="BC18" t="str">
        <f>IF(B18="","",step01标题尺码信息!$S$47)</f>
        <v/>
      </c>
      <c r="BD18" t="str">
        <f>IF(B18="","",step01标题尺码信息!$S$49)</f>
        <v/>
      </c>
      <c r="BE18" t="str">
        <f>IF(B18="","",step01标题尺码信息!$S$53)</f>
        <v/>
      </c>
      <c r="BH18" t="str">
        <f ca="1">IF(B18="","",IF(DX18="Parent","",VLOOKUP(B18,step01标题尺码信息!G:P,7,0)))</f>
        <v/>
      </c>
      <c r="BI18" t="str">
        <f ca="1">IF(B18="","",IF(DX18="Parent","",VLOOKUP(B18,step01标题尺码信息!G:P,8,0)))</f>
        <v/>
      </c>
      <c r="BK18" t="str">
        <f t="shared" si="7"/>
        <v/>
      </c>
      <c r="BL18" t="str">
        <f t="shared" si="8"/>
        <v/>
      </c>
      <c r="BO18" t="str">
        <f t="shared" si="9"/>
        <v/>
      </c>
      <c r="BR18" t="str">
        <f ca="1">IF(B18="","",IF(AS18="Parent","",VLOOKUP(B18,step01标题尺码信息!G:P,9,0)))</f>
        <v/>
      </c>
      <c r="CY18" t="str">
        <f t="shared" si="10"/>
        <v/>
      </c>
      <c r="DG18" t="str">
        <f>IF(B18="","",step01标题尺码信息!$T$30)</f>
        <v/>
      </c>
      <c r="DH18" t="str">
        <f t="shared" si="11"/>
        <v/>
      </c>
      <c r="DN18" t="str">
        <f ca="1" t="shared" si="12"/>
        <v/>
      </c>
      <c r="DW18" t="str">
        <f t="shared" si="13"/>
        <v/>
      </c>
      <c r="ER18" t="str">
        <f>IF(B18="","",step01标题尺码信息!$T$37)</f>
        <v/>
      </c>
      <c r="ES18" t="str">
        <f t="shared" si="14"/>
        <v/>
      </c>
      <c r="HF18" t="str">
        <f>IF(B18="","",step01标题尺码信息!$S$2)</f>
        <v/>
      </c>
      <c r="HH18" t="str">
        <f t="shared" si="15"/>
        <v/>
      </c>
      <c r="HI18" t="str">
        <f t="shared" si="16"/>
        <v/>
      </c>
      <c r="HL18" t="str">
        <f t="shared" si="17"/>
        <v/>
      </c>
      <c r="IA18" t="str">
        <f t="shared" si="18"/>
        <v/>
      </c>
    </row>
    <row r="19" spans="1:235">
      <c r="A19" t="str">
        <f>IF(B19="","",step01标题尺码信息!$B$3)</f>
        <v/>
      </c>
      <c r="B19" t="str">
        <f>IF(step01标题尺码信息!G21="","",step01标题尺码信息!G21)</f>
        <v/>
      </c>
      <c r="C19" t="str">
        <f>IF(B19="","",step01标题尺码信息!$E$3)</f>
        <v/>
      </c>
      <c r="D19" t="str">
        <f t="shared" si="0"/>
        <v/>
      </c>
      <c r="E19" t="str">
        <f ca="1">IF(B19="","",VLOOKUP(B19,step01标题尺码信息!G:P,4,0))</f>
        <v/>
      </c>
      <c r="H19" t="str">
        <f>IF(B19="","",step01标题尺码信息!$R$19)</f>
        <v/>
      </c>
      <c r="I19" t="str">
        <f t="shared" si="1"/>
        <v/>
      </c>
      <c r="M19" t="str">
        <f t="shared" si="2"/>
        <v/>
      </c>
      <c r="U19" t="str">
        <f>IF(B19="","",step01标题尺码信息!$S$1)</f>
        <v/>
      </c>
      <c r="V19" t="str">
        <f t="shared" si="3"/>
        <v/>
      </c>
      <c r="W19" t="str">
        <f>IF(B19="","",step01标题尺码信息!$V$1)</f>
        <v/>
      </c>
      <c r="X19" t="str">
        <f>IF(B19="","",step01标题尺码信息!$V$2)</f>
        <v/>
      </c>
      <c r="Y19" t="str">
        <f t="shared" si="4"/>
        <v/>
      </c>
      <c r="Z19" t="str">
        <f t="shared" si="5"/>
        <v/>
      </c>
      <c r="AA19" t="str">
        <f ca="1">IF(B19="","",IF(CB19="Parent","",VLOOKUP(B19,step01标题尺码信息!G:P,9,0)))</f>
        <v/>
      </c>
      <c r="AG19" t="str">
        <f t="shared" si="19"/>
        <v/>
      </c>
      <c r="AH19" t="str">
        <f t="shared" si="20"/>
        <v/>
      </c>
      <c r="AI19" t="str">
        <f ca="1">IF(OR(B19="",VLOOKUP(BH19,step02图片链接!B:E,4,0)=""),"",VLOOKUP(BH19,step02图片链接!B:E,4,0))</f>
        <v/>
      </c>
      <c r="AJ19" t="str">
        <f ca="1">IF(OR(B19="",VLOOKUP(BH19,step02图片链接!B:G,6,0)=""),"",VLOOKUP(BH19,step02图片链接!B:G,6,0))</f>
        <v/>
      </c>
      <c r="AK19" t="str">
        <f ca="1">IF(OR(B19="",VLOOKUP(BH19,step02图片链接!B:H,7,0)=""),"",VLOOKUP(BH19,step02图片链接!B:H,7,0))</f>
        <v/>
      </c>
      <c r="AL19" t="str">
        <f ca="1">IF(OR(B19="",VLOOKUP(BH19,step02图片链接!B:I,8,0)=""),"",VLOOKUP(BH19,step02图片链接!B:I,8,0))</f>
        <v/>
      </c>
      <c r="AM19" t="str">
        <f ca="1">IF(OR(B19="",VLOOKUP(BH19,step02图片链接!B:J,9,0)=""),"",VLOOKUP(BH19,step02图片链接!B:J,9,0))</f>
        <v/>
      </c>
      <c r="AN19" t="str">
        <f ca="1">IF(OR(B19="",VLOOKUP(BH19,step02图片链接!B:K,10,0)=""),"",VLOOKUP(BH19,step02图片链接!B:K,10,0))</f>
        <v/>
      </c>
      <c r="AO19" t="str">
        <f ca="1">IF(OR(B19="",VLOOKUP(BH19,step02图片链接!B:L,11,0)=""),"",VLOOKUP(BH19,step02图片链接!B:L,11,0))</f>
        <v/>
      </c>
      <c r="AP19" t="str">
        <f ca="1">IF(OR(B19="",VLOOKUP(BH19,step02图片链接!B:M,12,0)=""),"",VLOOKUP(BH19,step02图片链接!B:M,12,0))</f>
        <v/>
      </c>
      <c r="AQ19" t="str">
        <f ca="1">IF(OR(B19="",VLOOKUP(BH19,step02图片链接!B:N,13,0)=""),"",VLOOKUP(BH19,step02图片链接!B:N,13,0))</f>
        <v/>
      </c>
      <c r="AS19" t="str">
        <f t="shared" si="21"/>
        <v/>
      </c>
      <c r="AT19" t="str">
        <f t="shared" si="22"/>
        <v/>
      </c>
      <c r="AU19" t="str">
        <f t="shared" si="6"/>
        <v/>
      </c>
      <c r="AV19" t="str">
        <f>IF(B19="","",step01标题尺码信息!$T$36)</f>
        <v/>
      </c>
      <c r="AZ19" t="str">
        <f>IF(B19="","",step01标题尺码信息!$S$41)</f>
        <v/>
      </c>
      <c r="BA19" t="str">
        <f>IF(B19="","",step01标题尺码信息!$S$43)</f>
        <v/>
      </c>
      <c r="BB19" t="str">
        <f>IF(B19="","",step01标题尺码信息!$S$45)</f>
        <v/>
      </c>
      <c r="BC19" t="str">
        <f>IF(B19="","",step01标题尺码信息!$S$47)</f>
        <v/>
      </c>
      <c r="BD19" t="str">
        <f>IF(B19="","",step01标题尺码信息!$S$49)</f>
        <v/>
      </c>
      <c r="BE19" t="str">
        <f>IF(B19="","",step01标题尺码信息!$S$53)</f>
        <v/>
      </c>
      <c r="BH19" t="str">
        <f ca="1">IF(B19="","",IF(DX19="Parent","",VLOOKUP(B19,step01标题尺码信息!G:P,7,0)))</f>
        <v/>
      </c>
      <c r="BI19" t="str">
        <f ca="1">IF(B19="","",IF(DX19="Parent","",VLOOKUP(B19,step01标题尺码信息!G:P,8,0)))</f>
        <v/>
      </c>
      <c r="BK19" t="str">
        <f t="shared" si="7"/>
        <v/>
      </c>
      <c r="BL19" t="str">
        <f t="shared" si="8"/>
        <v/>
      </c>
      <c r="BO19" t="str">
        <f t="shared" si="9"/>
        <v/>
      </c>
      <c r="BR19" t="str">
        <f ca="1">IF(B19="","",IF(AS19="Parent","",VLOOKUP(B19,step01标题尺码信息!G:P,9,0)))</f>
        <v/>
      </c>
      <c r="CY19" t="str">
        <f t="shared" si="10"/>
        <v/>
      </c>
      <c r="DG19" t="str">
        <f>IF(B19="","",step01标题尺码信息!$T$30)</f>
        <v/>
      </c>
      <c r="DH19" t="str">
        <f t="shared" si="11"/>
        <v/>
      </c>
      <c r="DN19" t="str">
        <f ca="1" t="shared" si="12"/>
        <v/>
      </c>
      <c r="DW19" t="str">
        <f t="shared" si="13"/>
        <v/>
      </c>
      <c r="ER19" t="str">
        <f>IF(B19="","",step01标题尺码信息!$T$37)</f>
        <v/>
      </c>
      <c r="ES19" t="str">
        <f t="shared" si="14"/>
        <v/>
      </c>
      <c r="HF19" t="str">
        <f>IF(B19="","",step01标题尺码信息!$S$2)</f>
        <v/>
      </c>
      <c r="HH19" t="str">
        <f t="shared" si="15"/>
        <v/>
      </c>
      <c r="HI19" t="str">
        <f t="shared" si="16"/>
        <v/>
      </c>
      <c r="HL19" t="str">
        <f t="shared" si="17"/>
        <v/>
      </c>
      <c r="IA19" t="str">
        <f t="shared" si="18"/>
        <v/>
      </c>
    </row>
    <row r="20" spans="1:235">
      <c r="A20" t="str">
        <f>IF(B20="","",step01标题尺码信息!$B$3)</f>
        <v/>
      </c>
      <c r="B20" t="str">
        <f>IF(step01标题尺码信息!G22="","",step01标题尺码信息!G22)</f>
        <v/>
      </c>
      <c r="C20" t="str">
        <f>IF(B20="","",step01标题尺码信息!$E$3)</f>
        <v/>
      </c>
      <c r="D20" t="str">
        <f t="shared" si="0"/>
        <v/>
      </c>
      <c r="E20" t="str">
        <f ca="1">IF(B20="","",VLOOKUP(B20,step01标题尺码信息!G:P,4,0))</f>
        <v/>
      </c>
      <c r="H20" t="str">
        <f>IF(B20="","",step01标题尺码信息!$R$19)</f>
        <v/>
      </c>
      <c r="I20" t="str">
        <f t="shared" si="1"/>
        <v/>
      </c>
      <c r="M20" t="str">
        <f t="shared" si="2"/>
        <v/>
      </c>
      <c r="U20" t="str">
        <f>IF(B20="","",step01标题尺码信息!$S$1)</f>
        <v/>
      </c>
      <c r="V20" t="str">
        <f t="shared" si="3"/>
        <v/>
      </c>
      <c r="W20" t="str">
        <f>IF(B20="","",step01标题尺码信息!$V$1)</f>
        <v/>
      </c>
      <c r="X20" t="str">
        <f>IF(B20="","",step01标题尺码信息!$V$2)</f>
        <v/>
      </c>
      <c r="Y20" t="str">
        <f t="shared" si="4"/>
        <v/>
      </c>
      <c r="Z20" t="str">
        <f t="shared" si="5"/>
        <v/>
      </c>
      <c r="AA20" t="str">
        <f ca="1">IF(B20="","",IF(CB20="Parent","",VLOOKUP(B20,step01标题尺码信息!G:P,9,0)))</f>
        <v/>
      </c>
      <c r="AG20" t="str">
        <f t="shared" si="19"/>
        <v/>
      </c>
      <c r="AH20" t="str">
        <f t="shared" si="20"/>
        <v/>
      </c>
      <c r="AI20" t="str">
        <f ca="1">IF(OR(B20="",VLOOKUP(BH20,step02图片链接!B:E,4,0)=""),"",VLOOKUP(BH20,step02图片链接!B:E,4,0))</f>
        <v/>
      </c>
      <c r="AJ20" t="str">
        <f ca="1">IF(OR(B20="",VLOOKUP(BH20,step02图片链接!B:G,6,0)=""),"",VLOOKUP(BH20,step02图片链接!B:G,6,0))</f>
        <v/>
      </c>
      <c r="AK20" t="str">
        <f ca="1">IF(OR(B20="",VLOOKUP(BH20,step02图片链接!B:H,7,0)=""),"",VLOOKUP(BH20,step02图片链接!B:H,7,0))</f>
        <v/>
      </c>
      <c r="AL20" t="str">
        <f ca="1">IF(OR(B20="",VLOOKUP(BH20,step02图片链接!B:I,8,0)=""),"",VLOOKUP(BH20,step02图片链接!B:I,8,0))</f>
        <v/>
      </c>
      <c r="AM20" t="str">
        <f ca="1">IF(OR(B20="",VLOOKUP(BH20,step02图片链接!B:J,9,0)=""),"",VLOOKUP(BH20,step02图片链接!B:J,9,0))</f>
        <v/>
      </c>
      <c r="AN20" t="str">
        <f ca="1">IF(OR(B20="",VLOOKUP(BH20,step02图片链接!B:K,10,0)=""),"",VLOOKUP(BH20,step02图片链接!B:K,10,0))</f>
        <v/>
      </c>
      <c r="AO20" t="str">
        <f ca="1">IF(OR(B20="",VLOOKUP(BH20,step02图片链接!B:L,11,0)=""),"",VLOOKUP(BH20,step02图片链接!B:L,11,0))</f>
        <v/>
      </c>
      <c r="AP20" t="str">
        <f ca="1">IF(OR(B20="",VLOOKUP(BH20,step02图片链接!B:M,12,0)=""),"",VLOOKUP(BH20,step02图片链接!B:M,12,0))</f>
        <v/>
      </c>
      <c r="AQ20" t="str">
        <f ca="1">IF(OR(B20="",VLOOKUP(BH20,step02图片链接!B:N,13,0)=""),"",VLOOKUP(BH20,step02图片链接!B:N,13,0))</f>
        <v/>
      </c>
      <c r="AS20" t="str">
        <f t="shared" si="21"/>
        <v/>
      </c>
      <c r="AT20" t="str">
        <f t="shared" si="22"/>
        <v/>
      </c>
      <c r="AU20" t="str">
        <f t="shared" si="6"/>
        <v/>
      </c>
      <c r="AV20" t="str">
        <f>IF(B20="","",step01标题尺码信息!$T$36)</f>
        <v/>
      </c>
      <c r="AZ20" t="str">
        <f>IF(B20="","",step01标题尺码信息!$S$41)</f>
        <v/>
      </c>
      <c r="BA20" t="str">
        <f>IF(B20="","",step01标题尺码信息!$S$43)</f>
        <v/>
      </c>
      <c r="BB20" t="str">
        <f>IF(B20="","",step01标题尺码信息!$S$45)</f>
        <v/>
      </c>
      <c r="BC20" t="str">
        <f>IF(B20="","",step01标题尺码信息!$S$47)</f>
        <v/>
      </c>
      <c r="BD20" t="str">
        <f>IF(B20="","",step01标题尺码信息!$S$49)</f>
        <v/>
      </c>
      <c r="BE20" t="str">
        <f>IF(B20="","",step01标题尺码信息!$S$53)</f>
        <v/>
      </c>
      <c r="BH20" t="str">
        <f ca="1">IF(B20="","",IF(DX20="Parent","",VLOOKUP(B20,step01标题尺码信息!G:P,7,0)))</f>
        <v/>
      </c>
      <c r="BI20" t="str">
        <f ca="1">IF(B20="","",IF(DX20="Parent","",VLOOKUP(B20,step01标题尺码信息!G:P,8,0)))</f>
        <v/>
      </c>
      <c r="BK20" t="str">
        <f t="shared" si="7"/>
        <v/>
      </c>
      <c r="BL20" t="str">
        <f t="shared" si="8"/>
        <v/>
      </c>
      <c r="BO20" t="str">
        <f t="shared" si="9"/>
        <v/>
      </c>
      <c r="BR20" t="str">
        <f ca="1">IF(B20="","",IF(AS20="Parent","",VLOOKUP(B20,step01标题尺码信息!G:P,9,0)))</f>
        <v/>
      </c>
      <c r="CY20" t="str">
        <f t="shared" si="10"/>
        <v/>
      </c>
      <c r="DG20" t="str">
        <f>IF(B20="","",step01标题尺码信息!$T$30)</f>
        <v/>
      </c>
      <c r="DH20" t="str">
        <f t="shared" si="11"/>
        <v/>
      </c>
      <c r="DN20" t="str">
        <f ca="1" t="shared" si="12"/>
        <v/>
      </c>
      <c r="DW20" t="str">
        <f t="shared" si="13"/>
        <v/>
      </c>
      <c r="ER20" t="str">
        <f>IF(B20="","",step01标题尺码信息!$T$37)</f>
        <v/>
      </c>
      <c r="ES20" t="str">
        <f t="shared" si="14"/>
        <v/>
      </c>
      <c r="HF20" t="str">
        <f>IF(B20="","",step01标题尺码信息!$S$2)</f>
        <v/>
      </c>
      <c r="HH20" t="str">
        <f t="shared" si="15"/>
        <v/>
      </c>
      <c r="HI20" t="str">
        <f t="shared" si="16"/>
        <v/>
      </c>
      <c r="HL20" t="str">
        <f t="shared" si="17"/>
        <v/>
      </c>
      <c r="IA20" t="str">
        <f t="shared" si="18"/>
        <v/>
      </c>
    </row>
    <row r="21" spans="1:235">
      <c r="A21" t="str">
        <f ca="1">IF(B21="","",step01标题尺码信息!$B$3)</f>
        <v/>
      </c>
      <c r="B21" t="str">
        <f ca="1">IF(step01标题尺码信息!G23="","",step01标题尺码信息!G23)</f>
        <v/>
      </c>
      <c r="C21" t="str">
        <f ca="1">IF(B21="","",step01标题尺码信息!$E$3)</f>
        <v/>
      </c>
      <c r="D21" t="str">
        <f ca="1" t="shared" si="0"/>
        <v/>
      </c>
      <c r="E21" t="str">
        <f ca="1">IF(B21="","",VLOOKUP(B21,step01标题尺码信息!G:P,4,0))</f>
        <v/>
      </c>
      <c r="H21" t="str">
        <f ca="1">IF(B21="","",step01标题尺码信息!$R$19)</f>
        <v/>
      </c>
      <c r="I21" t="str">
        <f ca="1" t="shared" si="1"/>
        <v/>
      </c>
      <c r="M21" t="str">
        <f ca="1" t="shared" si="2"/>
        <v/>
      </c>
      <c r="U21" t="str">
        <f ca="1">IF(B21="","",step01标题尺码信息!$S$1)</f>
        <v/>
      </c>
      <c r="V21" t="str">
        <f ca="1" t="shared" si="3"/>
        <v/>
      </c>
      <c r="W21" t="str">
        <f ca="1">IF(B21="","",step01标题尺码信息!$V$1)</f>
        <v/>
      </c>
      <c r="X21" t="str">
        <f ca="1">IF(B21="","",step01标题尺码信息!$V$2)</f>
        <v/>
      </c>
      <c r="Y21" t="str">
        <f ca="1" t="shared" si="4"/>
        <v/>
      </c>
      <c r="Z21" t="str">
        <f ca="1" t="shared" si="5"/>
        <v/>
      </c>
      <c r="AA21" t="str">
        <f ca="1">IF(B21="","",IF(CB21="Parent","",VLOOKUP(B21,step01标题尺码信息!G:P,9,0)))</f>
        <v/>
      </c>
      <c r="AG21" t="str">
        <f ca="1" t="shared" si="19"/>
        <v/>
      </c>
      <c r="AH21" t="str">
        <f ca="1" t="shared" si="20"/>
        <v/>
      </c>
      <c r="AI21" t="str">
        <f ca="1">IF(OR(B21="",VLOOKUP(BH21,step02图片链接!B:E,4,0)=""),"",VLOOKUP(BH21,step02图片链接!B:E,4,0))</f>
        <v/>
      </c>
      <c r="AJ21" t="str">
        <f ca="1">IF(OR(B21="",VLOOKUP(BH21,step02图片链接!B:G,6,0)=""),"",VLOOKUP(BH21,step02图片链接!B:G,6,0))</f>
        <v/>
      </c>
      <c r="AK21" t="str">
        <f ca="1">IF(OR(B21="",VLOOKUP(BH21,step02图片链接!B:H,7,0)=""),"",VLOOKUP(BH21,step02图片链接!B:H,7,0))</f>
        <v/>
      </c>
      <c r="AL21" t="str">
        <f ca="1">IF(OR(B21="",VLOOKUP(BH21,step02图片链接!B:I,8,0)=""),"",VLOOKUP(BH21,step02图片链接!B:I,8,0))</f>
        <v/>
      </c>
      <c r="AM21" t="str">
        <f ca="1">IF(OR(B21="",VLOOKUP(BH21,step02图片链接!B:J,9,0)=""),"",VLOOKUP(BH21,step02图片链接!B:J,9,0))</f>
        <v/>
      </c>
      <c r="AN21" t="str">
        <f ca="1">IF(OR(B21="",VLOOKUP(BH21,step02图片链接!B:K,10,0)=""),"",VLOOKUP(BH21,step02图片链接!B:K,10,0))</f>
        <v/>
      </c>
      <c r="AO21" t="str">
        <f ca="1">IF(OR(B21="",VLOOKUP(BH21,step02图片链接!B:L,11,0)=""),"",VLOOKUP(BH21,step02图片链接!B:L,11,0))</f>
        <v/>
      </c>
      <c r="AP21" t="str">
        <f ca="1">IF(OR(B21="",VLOOKUP(BH21,step02图片链接!B:M,12,0)=""),"",VLOOKUP(BH21,step02图片链接!B:M,12,0))</f>
        <v/>
      </c>
      <c r="AQ21" t="str">
        <f ca="1">IF(OR(B21="",VLOOKUP(BH21,step02图片链接!B:N,13,0)=""),"",VLOOKUP(BH21,step02图片链接!B:N,13,0))</f>
        <v/>
      </c>
      <c r="AS21" t="str">
        <f ca="1" t="shared" si="21"/>
        <v/>
      </c>
      <c r="AT21" t="str">
        <f ca="1" t="shared" si="22"/>
        <v/>
      </c>
      <c r="AU21" t="str">
        <f ca="1" t="shared" si="6"/>
        <v/>
      </c>
      <c r="AV21" t="str">
        <f ca="1">IF(B21="","",step01标题尺码信息!$T$36)</f>
        <v/>
      </c>
      <c r="AZ21" t="str">
        <f ca="1">IF(B21="","",step01标题尺码信息!$S$41)</f>
        <v/>
      </c>
      <c r="BA21" t="str">
        <f ca="1">IF(B21="","",step01标题尺码信息!$S$43)</f>
        <v/>
      </c>
      <c r="BB21" t="str">
        <f ca="1">IF(B21="","",step01标题尺码信息!$S$45)</f>
        <v/>
      </c>
      <c r="BC21" t="str">
        <f ca="1">IF(B21="","",step01标题尺码信息!$S$47)</f>
        <v/>
      </c>
      <c r="BD21" t="str">
        <f ca="1">IF(B21="","",step01标题尺码信息!$S$49)</f>
        <v/>
      </c>
      <c r="BE21" t="str">
        <f ca="1">IF(B21="","",step01标题尺码信息!$S$53)</f>
        <v/>
      </c>
      <c r="BH21" t="str">
        <f ca="1">IF(B21="","",IF(DX21="Parent","",VLOOKUP(B21,step01标题尺码信息!G:P,7,0)))</f>
        <v/>
      </c>
      <c r="BI21" t="str">
        <f ca="1">IF(B21="","",IF(DX21="Parent","",VLOOKUP(B21,step01标题尺码信息!G:P,8,0)))</f>
        <v/>
      </c>
      <c r="BK21" t="str">
        <f ca="1" t="shared" si="7"/>
        <v/>
      </c>
      <c r="BL21" t="str">
        <f ca="1" t="shared" si="8"/>
        <v/>
      </c>
      <c r="BO21" t="str">
        <f ca="1" t="shared" si="9"/>
        <v/>
      </c>
      <c r="BR21" t="str">
        <f ca="1">IF(B21="","",IF(AS21="Parent","",VLOOKUP(B21,step01标题尺码信息!G:P,9,0)))</f>
        <v/>
      </c>
      <c r="CY21" t="str">
        <f ca="1" t="shared" si="10"/>
        <v/>
      </c>
      <c r="DG21" t="str">
        <f ca="1">IF(B21="","",step01标题尺码信息!$T$30)</f>
        <v/>
      </c>
      <c r="DH21" t="str">
        <f ca="1" t="shared" si="11"/>
        <v/>
      </c>
      <c r="DN21" t="str">
        <f ca="1" t="shared" si="12"/>
        <v/>
      </c>
      <c r="DW21" t="str">
        <f ca="1" t="shared" si="13"/>
        <v/>
      </c>
      <c r="ER21" t="str">
        <f ca="1">IF(B21="","",step01标题尺码信息!$T$37)</f>
        <v/>
      </c>
      <c r="ES21" t="str">
        <f ca="1" t="shared" si="14"/>
        <v/>
      </c>
      <c r="HF21" t="str">
        <f ca="1">IF(B21="","",step01标题尺码信息!$S$2)</f>
        <v/>
      </c>
      <c r="HH21" t="str">
        <f ca="1" t="shared" si="15"/>
        <v/>
      </c>
      <c r="HI21" t="str">
        <f ca="1" t="shared" si="16"/>
        <v/>
      </c>
      <c r="HL21" t="str">
        <f ca="1" t="shared" si="17"/>
        <v/>
      </c>
      <c r="IA21" t="str">
        <f ca="1" t="shared" si="18"/>
        <v/>
      </c>
    </row>
    <row r="22" spans="1:235">
      <c r="A22" t="str">
        <f ca="1">IF(B22="","",step01标题尺码信息!$B$3)</f>
        <v/>
      </c>
      <c r="B22" t="str">
        <f ca="1">IF(step01标题尺码信息!G24="","",step01标题尺码信息!G24)</f>
        <v/>
      </c>
      <c r="C22" t="str">
        <f ca="1">IF(B22="","",step01标题尺码信息!$E$3)</f>
        <v/>
      </c>
      <c r="D22" t="str">
        <f ca="1" t="shared" si="0"/>
        <v/>
      </c>
      <c r="E22" t="str">
        <f ca="1">IF(B22="","",VLOOKUP(B22,step01标题尺码信息!G:P,4,0))</f>
        <v/>
      </c>
      <c r="H22" t="str">
        <f ca="1">IF(B22="","",step01标题尺码信息!$R$19)</f>
        <v/>
      </c>
      <c r="I22" t="str">
        <f ca="1" t="shared" si="1"/>
        <v/>
      </c>
      <c r="M22" t="str">
        <f ca="1" t="shared" si="2"/>
        <v/>
      </c>
      <c r="U22" t="str">
        <f ca="1">IF(B22="","",step01标题尺码信息!$S$1)</f>
        <v/>
      </c>
      <c r="V22" t="str">
        <f ca="1" t="shared" si="3"/>
        <v/>
      </c>
      <c r="W22" t="str">
        <f ca="1">IF(B22="","",step01标题尺码信息!$V$1)</f>
        <v/>
      </c>
      <c r="X22" t="str">
        <f ca="1">IF(B22="","",step01标题尺码信息!$V$2)</f>
        <v/>
      </c>
      <c r="Y22" t="str">
        <f ca="1" t="shared" si="4"/>
        <v/>
      </c>
      <c r="Z22" t="str">
        <f ca="1" t="shared" si="5"/>
        <v/>
      </c>
      <c r="AA22" t="str">
        <f ca="1">IF(B22="","",IF(CB22="Parent","",VLOOKUP(B22,step01标题尺码信息!G:P,9,0)))</f>
        <v/>
      </c>
      <c r="AG22" t="str">
        <f ca="1" t="shared" si="19"/>
        <v/>
      </c>
      <c r="AH22" t="str">
        <f ca="1" t="shared" si="20"/>
        <v/>
      </c>
      <c r="AI22" t="str">
        <f ca="1">IF(OR(B22="",VLOOKUP(BH22,step02图片链接!B:E,4,0)=""),"",VLOOKUP(BH22,step02图片链接!B:E,4,0))</f>
        <v/>
      </c>
      <c r="AJ22" t="str">
        <f ca="1">IF(OR(B22="",VLOOKUP(BH22,step02图片链接!B:G,6,0)=""),"",VLOOKUP(BH22,step02图片链接!B:G,6,0))</f>
        <v/>
      </c>
      <c r="AK22" t="str">
        <f ca="1">IF(OR(B22="",VLOOKUP(BH22,step02图片链接!B:H,7,0)=""),"",VLOOKUP(BH22,step02图片链接!B:H,7,0))</f>
        <v/>
      </c>
      <c r="AL22" t="str">
        <f ca="1">IF(OR(B22="",VLOOKUP(BH22,step02图片链接!B:I,8,0)=""),"",VLOOKUP(BH22,step02图片链接!B:I,8,0))</f>
        <v/>
      </c>
      <c r="AM22" t="str">
        <f ca="1">IF(OR(B22="",VLOOKUP(BH22,step02图片链接!B:J,9,0)=""),"",VLOOKUP(BH22,step02图片链接!B:J,9,0))</f>
        <v/>
      </c>
      <c r="AN22" t="str">
        <f ca="1">IF(OR(B22="",VLOOKUP(BH22,step02图片链接!B:K,10,0)=""),"",VLOOKUP(BH22,step02图片链接!B:K,10,0))</f>
        <v/>
      </c>
      <c r="AO22" t="str">
        <f ca="1">IF(OR(B22="",VLOOKUP(BH22,step02图片链接!B:L,11,0)=""),"",VLOOKUP(BH22,step02图片链接!B:L,11,0))</f>
        <v/>
      </c>
      <c r="AP22" t="str">
        <f ca="1">IF(OR(B22="",VLOOKUP(BH22,step02图片链接!B:M,12,0)=""),"",VLOOKUP(BH22,step02图片链接!B:M,12,0))</f>
        <v/>
      </c>
      <c r="AQ22" t="str">
        <f ca="1">IF(OR(B22="",VLOOKUP(BH22,step02图片链接!B:N,13,0)=""),"",VLOOKUP(BH22,step02图片链接!B:N,13,0))</f>
        <v/>
      </c>
      <c r="AS22" t="str">
        <f ca="1" t="shared" si="21"/>
        <v/>
      </c>
      <c r="AT22" t="str">
        <f ca="1" t="shared" si="22"/>
        <v/>
      </c>
      <c r="AU22" t="str">
        <f ca="1" t="shared" si="6"/>
        <v/>
      </c>
      <c r="AV22" t="str">
        <f ca="1">IF(B22="","",step01标题尺码信息!$T$36)</f>
        <v/>
      </c>
      <c r="AZ22" t="str">
        <f ca="1">IF(B22="","",step01标题尺码信息!$S$41)</f>
        <v/>
      </c>
      <c r="BA22" t="str">
        <f ca="1">IF(B22="","",step01标题尺码信息!$S$43)</f>
        <v/>
      </c>
      <c r="BB22" t="str">
        <f ca="1">IF(B22="","",step01标题尺码信息!$S$45)</f>
        <v/>
      </c>
      <c r="BC22" t="str">
        <f ca="1">IF(B22="","",step01标题尺码信息!$S$47)</f>
        <v/>
      </c>
      <c r="BD22" t="str">
        <f ca="1">IF(B22="","",step01标题尺码信息!$S$49)</f>
        <v/>
      </c>
      <c r="BE22" t="str">
        <f ca="1">IF(B22="","",step01标题尺码信息!$S$53)</f>
        <v/>
      </c>
      <c r="BH22" t="str">
        <f ca="1">IF(B22="","",IF(DX22="Parent","",VLOOKUP(B22,step01标题尺码信息!G:P,7,0)))</f>
        <v/>
      </c>
      <c r="BI22" t="str">
        <f ca="1">IF(B22="","",IF(DX22="Parent","",VLOOKUP(B22,step01标题尺码信息!G:P,8,0)))</f>
        <v/>
      </c>
      <c r="BK22" t="str">
        <f ca="1" t="shared" si="7"/>
        <v/>
      </c>
      <c r="BL22" t="str">
        <f ca="1" t="shared" si="8"/>
        <v/>
      </c>
      <c r="BO22" t="str">
        <f ca="1" t="shared" si="9"/>
        <v/>
      </c>
      <c r="BR22" t="str">
        <f ca="1">IF(B22="","",IF(AS22="Parent","",VLOOKUP(B22,step01标题尺码信息!G:P,9,0)))</f>
        <v/>
      </c>
      <c r="CY22" t="str">
        <f ca="1" t="shared" si="10"/>
        <v/>
      </c>
      <c r="DG22" t="str">
        <f ca="1">IF(B22="","",step01标题尺码信息!$T$30)</f>
        <v/>
      </c>
      <c r="DH22" t="str">
        <f ca="1" t="shared" si="11"/>
        <v/>
      </c>
      <c r="DN22" t="str">
        <f ca="1" t="shared" si="12"/>
        <v/>
      </c>
      <c r="DW22" t="str">
        <f ca="1" t="shared" si="13"/>
        <v/>
      </c>
      <c r="ER22" t="str">
        <f ca="1">IF(B22="","",step01标题尺码信息!$T$37)</f>
        <v/>
      </c>
      <c r="ES22" t="str">
        <f ca="1" t="shared" si="14"/>
        <v/>
      </c>
      <c r="HF22" t="str">
        <f ca="1">IF(B22="","",step01标题尺码信息!$S$2)</f>
        <v/>
      </c>
      <c r="HH22" t="str">
        <f ca="1" t="shared" si="15"/>
        <v/>
      </c>
      <c r="HI22" t="str">
        <f ca="1" t="shared" si="16"/>
        <v/>
      </c>
      <c r="HL22" t="str">
        <f ca="1" t="shared" si="17"/>
        <v/>
      </c>
      <c r="IA22" t="str">
        <f ca="1" t="shared" si="18"/>
        <v/>
      </c>
    </row>
    <row r="23" spans="1:235">
      <c r="A23" t="str">
        <f ca="1">IF(B23="","",step01标题尺码信息!$B$3)</f>
        <v/>
      </c>
      <c r="B23" t="str">
        <f ca="1">IF(step01标题尺码信息!G25="","",step01标题尺码信息!G25)</f>
        <v/>
      </c>
      <c r="C23" t="str">
        <f ca="1">IF(B23="","",step01标题尺码信息!$E$3)</f>
        <v/>
      </c>
      <c r="D23" t="str">
        <f ca="1" t="shared" si="0"/>
        <v/>
      </c>
      <c r="E23" t="str">
        <f ca="1">IF(B23="","",VLOOKUP(B23,step01标题尺码信息!G:P,4,0))</f>
        <v/>
      </c>
      <c r="H23" t="str">
        <f ca="1">IF(B23="","",step01标题尺码信息!$R$19)</f>
        <v/>
      </c>
      <c r="I23" t="str">
        <f ca="1" t="shared" si="1"/>
        <v/>
      </c>
      <c r="M23" t="str">
        <f ca="1" t="shared" si="2"/>
        <v/>
      </c>
      <c r="U23" t="str">
        <f ca="1">IF(B23="","",step01标题尺码信息!$S$1)</f>
        <v/>
      </c>
      <c r="V23" t="str">
        <f ca="1" t="shared" si="3"/>
        <v/>
      </c>
      <c r="W23" t="str">
        <f ca="1">IF(B23="","",step01标题尺码信息!$V$1)</f>
        <v/>
      </c>
      <c r="X23" t="str">
        <f ca="1">IF(B23="","",step01标题尺码信息!$V$2)</f>
        <v/>
      </c>
      <c r="Y23" t="str">
        <f ca="1" t="shared" si="4"/>
        <v/>
      </c>
      <c r="Z23" t="str">
        <f ca="1" t="shared" si="5"/>
        <v/>
      </c>
      <c r="AA23" t="str">
        <f ca="1">IF(B23="","",IF(CB23="Parent","",VLOOKUP(B23,step01标题尺码信息!G:P,9,0)))</f>
        <v/>
      </c>
      <c r="AG23" t="str">
        <f ca="1" t="shared" si="19"/>
        <v/>
      </c>
      <c r="AH23" t="str">
        <f ca="1" t="shared" si="20"/>
        <v/>
      </c>
      <c r="AI23" t="str">
        <f ca="1">IF(OR(B23="",VLOOKUP(BH23,step02图片链接!B:E,4,0)=""),"",VLOOKUP(BH23,step02图片链接!B:E,4,0))</f>
        <v/>
      </c>
      <c r="AJ23" t="str">
        <f ca="1">IF(OR(B23="",VLOOKUP(BH23,step02图片链接!B:G,6,0)=""),"",VLOOKUP(BH23,step02图片链接!B:G,6,0))</f>
        <v/>
      </c>
      <c r="AK23" t="str">
        <f ca="1">IF(OR(B23="",VLOOKUP(BH23,step02图片链接!B:H,7,0)=""),"",VLOOKUP(BH23,step02图片链接!B:H,7,0))</f>
        <v/>
      </c>
      <c r="AL23" t="str">
        <f ca="1">IF(OR(B23="",VLOOKUP(BH23,step02图片链接!B:I,8,0)=""),"",VLOOKUP(BH23,step02图片链接!B:I,8,0))</f>
        <v/>
      </c>
      <c r="AM23" t="str">
        <f ca="1">IF(OR(B23="",VLOOKUP(BH23,step02图片链接!B:J,9,0)=""),"",VLOOKUP(BH23,step02图片链接!B:J,9,0))</f>
        <v/>
      </c>
      <c r="AN23" t="str">
        <f ca="1">IF(OR(B23="",VLOOKUP(BH23,step02图片链接!B:K,10,0)=""),"",VLOOKUP(BH23,step02图片链接!B:K,10,0))</f>
        <v/>
      </c>
      <c r="AO23" t="str">
        <f ca="1">IF(OR(B23="",VLOOKUP(BH23,step02图片链接!B:L,11,0)=""),"",VLOOKUP(BH23,step02图片链接!B:L,11,0))</f>
        <v/>
      </c>
      <c r="AP23" t="str">
        <f ca="1">IF(OR(B23="",VLOOKUP(BH23,step02图片链接!B:M,12,0)=""),"",VLOOKUP(BH23,step02图片链接!B:M,12,0))</f>
        <v/>
      </c>
      <c r="AQ23" t="str">
        <f ca="1">IF(OR(B23="",VLOOKUP(BH23,step02图片链接!B:N,13,0)=""),"",VLOOKUP(BH23,step02图片链接!B:N,13,0))</f>
        <v/>
      </c>
      <c r="AS23" t="str">
        <f ca="1" t="shared" si="21"/>
        <v/>
      </c>
      <c r="AT23" t="str">
        <f ca="1" t="shared" si="22"/>
        <v/>
      </c>
      <c r="AU23" t="str">
        <f ca="1" t="shared" si="6"/>
        <v/>
      </c>
      <c r="AV23" t="str">
        <f ca="1">IF(B23="","",step01标题尺码信息!$T$36)</f>
        <v/>
      </c>
      <c r="AZ23" t="str">
        <f ca="1">IF(B23="","",step01标题尺码信息!$S$41)</f>
        <v/>
      </c>
      <c r="BA23" t="str">
        <f ca="1">IF(B23="","",step01标题尺码信息!$S$43)</f>
        <v/>
      </c>
      <c r="BB23" t="str">
        <f ca="1">IF(B23="","",step01标题尺码信息!$S$45)</f>
        <v/>
      </c>
      <c r="BC23" t="str">
        <f ca="1">IF(B23="","",step01标题尺码信息!$S$47)</f>
        <v/>
      </c>
      <c r="BD23" t="str">
        <f ca="1">IF(B23="","",step01标题尺码信息!$S$49)</f>
        <v/>
      </c>
      <c r="BE23" t="str">
        <f ca="1">IF(B23="","",step01标题尺码信息!$S$53)</f>
        <v/>
      </c>
      <c r="BH23" t="str">
        <f ca="1">IF(B23="","",IF(DX23="Parent","",VLOOKUP(B23,step01标题尺码信息!G:P,7,0)))</f>
        <v/>
      </c>
      <c r="BI23" t="str">
        <f ca="1">IF(B23="","",IF(DX23="Parent","",VLOOKUP(B23,step01标题尺码信息!G:P,8,0)))</f>
        <v/>
      </c>
      <c r="BK23" t="str">
        <f ca="1" t="shared" si="7"/>
        <v/>
      </c>
      <c r="BL23" t="str">
        <f ca="1" t="shared" si="8"/>
        <v/>
      </c>
      <c r="BO23" t="str">
        <f ca="1" t="shared" si="9"/>
        <v/>
      </c>
      <c r="BR23" t="str">
        <f ca="1">IF(B23="","",IF(AS23="Parent","",VLOOKUP(B23,step01标题尺码信息!G:P,9,0)))</f>
        <v/>
      </c>
      <c r="CY23" t="str">
        <f ca="1" t="shared" si="10"/>
        <v/>
      </c>
      <c r="DG23" t="str">
        <f ca="1">IF(B23="","",step01标题尺码信息!$T$30)</f>
        <v/>
      </c>
      <c r="DH23" t="str">
        <f ca="1" t="shared" si="11"/>
        <v/>
      </c>
      <c r="DN23" t="str">
        <f ca="1" t="shared" si="12"/>
        <v/>
      </c>
      <c r="DW23" t="str">
        <f ca="1" t="shared" si="13"/>
        <v/>
      </c>
      <c r="ER23" t="str">
        <f ca="1">IF(B23="","",step01标题尺码信息!$T$37)</f>
        <v/>
      </c>
      <c r="ES23" t="str">
        <f ca="1" t="shared" si="14"/>
        <v/>
      </c>
      <c r="HF23" t="str">
        <f ca="1">IF(B23="","",step01标题尺码信息!$S$2)</f>
        <v/>
      </c>
      <c r="HH23" t="str">
        <f ca="1" t="shared" si="15"/>
        <v/>
      </c>
      <c r="HI23" t="str">
        <f ca="1" t="shared" si="16"/>
        <v/>
      </c>
      <c r="HL23" t="str">
        <f ca="1" t="shared" si="17"/>
        <v/>
      </c>
      <c r="IA23" t="str">
        <f ca="1" t="shared" si="18"/>
        <v/>
      </c>
    </row>
    <row r="24" s="2" customFormat="1" spans="1:235">
      <c r="A24" t="str">
        <f ca="1">IF(B24="","",step01标题尺码信息!$B$3)</f>
        <v/>
      </c>
      <c r="B24" s="2" t="str">
        <f ca="1">IF(step01标题尺码信息!G26="","",step01标题尺码信息!G26)</f>
        <v/>
      </c>
      <c r="C24" s="2" t="str">
        <f ca="1">IF(B24="","",step01标题尺码信息!$E$3)</f>
        <v/>
      </c>
      <c r="D24" s="2" t="str">
        <f ca="1" t="shared" si="0"/>
        <v/>
      </c>
      <c r="E24" s="2" t="str">
        <f ca="1">IF(B24="","",VLOOKUP(B24,step01标题尺码信息!G:P,4,0))</f>
        <v/>
      </c>
      <c r="H24" s="2" t="str">
        <f ca="1">IF(B24="","",step01标题尺码信息!$R$19)</f>
        <v/>
      </c>
      <c r="I24" s="2" t="str">
        <f ca="1" t="shared" si="1"/>
        <v/>
      </c>
      <c r="M24" s="2" t="str">
        <f ca="1" t="shared" si="2"/>
        <v/>
      </c>
      <c r="U24" t="str">
        <f ca="1">IF(B24="","",step01标题尺码信息!$S$1)</f>
        <v/>
      </c>
      <c r="V24" t="str">
        <f ca="1" t="shared" si="3"/>
        <v/>
      </c>
      <c r="W24" t="str">
        <f ca="1">IF(B24="","",step01标题尺码信息!$V$1)</f>
        <v/>
      </c>
      <c r="X24" t="str">
        <f ca="1">IF(B24="","",step01标题尺码信息!$V$2)</f>
        <v/>
      </c>
      <c r="Y24" t="str">
        <f ca="1" t="shared" si="4"/>
        <v/>
      </c>
      <c r="Z24" t="str">
        <f ca="1" t="shared" si="5"/>
        <v/>
      </c>
      <c r="AA24" t="str">
        <f ca="1">IF(B24="","",IF(CB24="Parent","",VLOOKUP(B24,step01标题尺码信息!G:P,9,0)))</f>
        <v/>
      </c>
      <c r="AG24" t="str">
        <f ca="1" t="shared" si="19"/>
        <v/>
      </c>
      <c r="AH24" t="str">
        <f ca="1" t="shared" si="20"/>
        <v/>
      </c>
      <c r="AI24" t="str">
        <f ca="1">IF(OR(B24="",VLOOKUP(BH24,step02图片链接!B:E,4,0)=""),"",VLOOKUP(BH24,step02图片链接!B:E,4,0))</f>
        <v/>
      </c>
      <c r="AJ24" t="str">
        <f ca="1">IF(OR(B24="",VLOOKUP(BH24,step02图片链接!B:G,6,0)=""),"",VLOOKUP(BH24,step02图片链接!B:G,6,0))</f>
        <v/>
      </c>
      <c r="AK24" t="str">
        <f ca="1">IF(OR(B24="",VLOOKUP(BH24,step02图片链接!B:H,7,0)=""),"",VLOOKUP(BH24,step02图片链接!B:H,7,0))</f>
        <v/>
      </c>
      <c r="AL24" t="str">
        <f ca="1">IF(OR(B24="",VLOOKUP(BH24,step02图片链接!B:I,8,0)=""),"",VLOOKUP(BH24,step02图片链接!B:I,8,0))</f>
        <v/>
      </c>
      <c r="AM24" t="str">
        <f ca="1">IF(OR(B24="",VLOOKUP(BH24,step02图片链接!B:J,9,0)=""),"",VLOOKUP(BH24,step02图片链接!B:J,9,0))</f>
        <v/>
      </c>
      <c r="AN24" t="str">
        <f ca="1">IF(OR(B24="",VLOOKUP(BH24,step02图片链接!B:K,10,0)=""),"",VLOOKUP(BH24,step02图片链接!B:K,10,0))</f>
        <v/>
      </c>
      <c r="AO24" t="str">
        <f ca="1">IF(OR(B24="",VLOOKUP(BH24,step02图片链接!B:L,11,0)=""),"",VLOOKUP(BH24,step02图片链接!B:L,11,0))</f>
        <v/>
      </c>
      <c r="AP24" t="str">
        <f ca="1">IF(OR(B24="",VLOOKUP(BH24,step02图片链接!B:M,12,0)=""),"",VLOOKUP(BH24,step02图片链接!B:M,12,0))</f>
        <v/>
      </c>
      <c r="AQ24" t="str">
        <f ca="1">IF(OR(B24="",VLOOKUP(BH24,step02图片链接!B:N,13,0)=""),"",VLOOKUP(BH24,step02图片链接!B:N,13,0))</f>
        <v/>
      </c>
      <c r="AS24" s="2" t="str">
        <f ca="1" t="shared" si="21"/>
        <v/>
      </c>
      <c r="AT24" s="2" t="str">
        <f ca="1" t="shared" si="22"/>
        <v/>
      </c>
      <c r="AU24" t="str">
        <f ca="1" t="shared" si="6"/>
        <v/>
      </c>
      <c r="AV24" t="str">
        <f ca="1">IF(B24="","",step01标题尺码信息!$T$36)</f>
        <v/>
      </c>
      <c r="AZ24" t="str">
        <f ca="1">IF(B24="","",step01标题尺码信息!$S$41)</f>
        <v/>
      </c>
      <c r="BA24" t="str">
        <f ca="1">IF(B24="","",step01标题尺码信息!$S$43)</f>
        <v/>
      </c>
      <c r="BB24" t="str">
        <f ca="1">IF(B24="","",step01标题尺码信息!$S$45)</f>
        <v/>
      </c>
      <c r="BC24" t="str">
        <f ca="1">IF(B24="","",step01标题尺码信息!$S$47)</f>
        <v/>
      </c>
      <c r="BD24" t="str">
        <f ca="1">IF(B24="","",step01标题尺码信息!$S$49)</f>
        <v/>
      </c>
      <c r="BE24" t="str">
        <f ca="1">IF(B24="","",step01标题尺码信息!$S$53)</f>
        <v/>
      </c>
      <c r="BH24" s="2" t="str">
        <f ca="1">IF(B24="","",IF(DX24="Parent","",VLOOKUP(B24,step01标题尺码信息!G:P,7,0)))</f>
        <v/>
      </c>
      <c r="BI24" s="2" t="str">
        <f ca="1">IF(B24="","",IF(DX24="Parent","",VLOOKUP(B24,step01标题尺码信息!G:P,8,0)))</f>
        <v/>
      </c>
      <c r="BK24" t="str">
        <f ca="1" t="shared" si="7"/>
        <v/>
      </c>
      <c r="BL24" t="str">
        <f ca="1" t="shared" si="8"/>
        <v/>
      </c>
      <c r="BO24" t="str">
        <f ca="1" t="shared" si="9"/>
        <v/>
      </c>
      <c r="BR24" t="str">
        <f ca="1">IF(B24="","",IF(AS24="Parent","",VLOOKUP(B24,step01标题尺码信息!G:P,9,0)))</f>
        <v/>
      </c>
      <c r="CY24" t="str">
        <f ca="1" t="shared" si="10"/>
        <v/>
      </c>
      <c r="DG24" t="str">
        <f ca="1">IF(B24="","",step01标题尺码信息!$T$30)</f>
        <v/>
      </c>
      <c r="DH24" t="str">
        <f ca="1" t="shared" si="11"/>
        <v/>
      </c>
      <c r="DN24" t="str">
        <f ca="1" t="shared" si="12"/>
        <v/>
      </c>
      <c r="DW24" t="str">
        <f ca="1" t="shared" si="13"/>
        <v/>
      </c>
      <c r="ER24" t="str">
        <f ca="1">IF(B24="","",step01标题尺码信息!$T$37)</f>
        <v/>
      </c>
      <c r="ES24" t="str">
        <f ca="1" t="shared" si="14"/>
        <v/>
      </c>
      <c r="HF24" t="str">
        <f ca="1">IF(B24="","",step01标题尺码信息!$S$2)</f>
        <v/>
      </c>
      <c r="HH24" t="str">
        <f ca="1" t="shared" si="15"/>
        <v/>
      </c>
      <c r="HI24" t="str">
        <f ca="1" t="shared" si="16"/>
        <v/>
      </c>
      <c r="HL24" t="str">
        <f ca="1" t="shared" si="17"/>
        <v/>
      </c>
      <c r="IA24" t="str">
        <f ca="1" t="shared" si="18"/>
        <v/>
      </c>
    </row>
    <row r="25" spans="1:235">
      <c r="A25" t="str">
        <f ca="1">IF(B25="","",step01标题尺码信息!$B$3)</f>
        <v/>
      </c>
      <c r="B25" t="str">
        <f ca="1">IF(step01标题尺码信息!G27="","",step01标题尺码信息!G27)</f>
        <v/>
      </c>
      <c r="C25" t="str">
        <f ca="1">IF(B25="","",step01标题尺码信息!$E$3)</f>
        <v/>
      </c>
      <c r="D25" t="str">
        <f ca="1" t="shared" si="0"/>
        <v/>
      </c>
      <c r="E25" t="str">
        <f ca="1">IF(B25="","",VLOOKUP(B25,step01标题尺码信息!G:P,4,0))</f>
        <v/>
      </c>
      <c r="H25" t="str">
        <f ca="1">IF(B25="","",step01标题尺码信息!$R$19)</f>
        <v/>
      </c>
      <c r="I25" t="str">
        <f ca="1" t="shared" si="1"/>
        <v/>
      </c>
      <c r="M25" t="str">
        <f ca="1" t="shared" si="2"/>
        <v/>
      </c>
      <c r="U25" t="str">
        <f ca="1">IF(B25="","",step01标题尺码信息!$S$1)</f>
        <v/>
      </c>
      <c r="V25" t="str">
        <f ca="1" t="shared" si="3"/>
        <v/>
      </c>
      <c r="W25" t="str">
        <f ca="1">IF(B25="","",step01标题尺码信息!$V$1)</f>
        <v/>
      </c>
      <c r="X25" t="str">
        <f ca="1">IF(B25="","",step01标题尺码信息!$V$2)</f>
        <v/>
      </c>
      <c r="Y25" t="str">
        <f ca="1" t="shared" si="4"/>
        <v/>
      </c>
      <c r="Z25" t="str">
        <f ca="1" t="shared" si="5"/>
        <v/>
      </c>
      <c r="AA25" t="str">
        <f ca="1">IF(B25="","",IF(CB25="Parent","",VLOOKUP(B25,step01标题尺码信息!G:P,9,0)))</f>
        <v/>
      </c>
      <c r="AG25" t="str">
        <f ca="1" t="shared" si="19"/>
        <v/>
      </c>
      <c r="AH25" t="str">
        <f ca="1" t="shared" si="20"/>
        <v/>
      </c>
      <c r="AI25" t="str">
        <f ca="1">IF(OR(B25="",VLOOKUP(BH25,step02图片链接!B:E,4,0)=""),"",VLOOKUP(BH25,step02图片链接!B:E,4,0))</f>
        <v/>
      </c>
      <c r="AJ25" t="str">
        <f ca="1">IF(OR(B25="",VLOOKUP(BH25,step02图片链接!B:G,6,0)=""),"",VLOOKUP(BH25,step02图片链接!B:G,6,0))</f>
        <v/>
      </c>
      <c r="AK25" t="str">
        <f ca="1">IF(OR(B25="",VLOOKUP(BH25,step02图片链接!B:H,7,0)=""),"",VLOOKUP(BH25,step02图片链接!B:H,7,0))</f>
        <v/>
      </c>
      <c r="AL25" t="str">
        <f ca="1">IF(OR(B25="",VLOOKUP(BH25,step02图片链接!B:I,8,0)=""),"",VLOOKUP(BH25,step02图片链接!B:I,8,0))</f>
        <v/>
      </c>
      <c r="AM25" t="str">
        <f ca="1">IF(OR(B25="",VLOOKUP(BH25,step02图片链接!B:J,9,0)=""),"",VLOOKUP(BH25,step02图片链接!B:J,9,0))</f>
        <v/>
      </c>
      <c r="AN25" t="str">
        <f ca="1">IF(OR(B25="",VLOOKUP(BH25,step02图片链接!B:K,10,0)=""),"",VLOOKUP(BH25,step02图片链接!B:K,10,0))</f>
        <v/>
      </c>
      <c r="AO25" t="str">
        <f ca="1">IF(OR(B25="",VLOOKUP(BH25,step02图片链接!B:L,11,0)=""),"",VLOOKUP(BH25,step02图片链接!B:L,11,0))</f>
        <v/>
      </c>
      <c r="AP25" t="str">
        <f ca="1">IF(OR(B25="",VLOOKUP(BH25,step02图片链接!B:M,12,0)=""),"",VLOOKUP(BH25,step02图片链接!B:M,12,0))</f>
        <v/>
      </c>
      <c r="AQ25" t="str">
        <f ca="1">IF(OR(B25="",VLOOKUP(BH25,step02图片链接!B:N,13,0)=""),"",VLOOKUP(BH25,step02图片链接!B:N,13,0))</f>
        <v/>
      </c>
      <c r="AS25" t="str">
        <f ca="1" t="shared" si="21"/>
        <v/>
      </c>
      <c r="AT25" t="str">
        <f ca="1" t="shared" si="22"/>
        <v/>
      </c>
      <c r="AU25" t="str">
        <f ca="1" t="shared" si="6"/>
        <v/>
      </c>
      <c r="AV25" t="str">
        <f ca="1">IF(B25="","",step01标题尺码信息!$T$36)</f>
        <v/>
      </c>
      <c r="AZ25" t="str">
        <f ca="1">IF(B25="","",step01标题尺码信息!$S$41)</f>
        <v/>
      </c>
      <c r="BA25" t="str">
        <f ca="1">IF(B25="","",step01标题尺码信息!$S$43)</f>
        <v/>
      </c>
      <c r="BB25" t="str">
        <f ca="1">IF(B25="","",step01标题尺码信息!$S$45)</f>
        <v/>
      </c>
      <c r="BC25" t="str">
        <f ca="1">IF(B25="","",step01标题尺码信息!$S$47)</f>
        <v/>
      </c>
      <c r="BD25" t="str">
        <f ca="1">IF(B25="","",step01标题尺码信息!$S$49)</f>
        <v/>
      </c>
      <c r="BE25" t="str">
        <f ca="1">IF(B25="","",step01标题尺码信息!$S$53)</f>
        <v/>
      </c>
      <c r="BH25" t="str">
        <f ca="1">IF(B25="","",IF(DX25="Parent","",VLOOKUP(B25,step01标题尺码信息!G:P,7,0)))</f>
        <v/>
      </c>
      <c r="BI25" t="str">
        <f ca="1">IF(B25="","",IF(DX25="Parent","",VLOOKUP(B25,step01标题尺码信息!G:P,8,0)))</f>
        <v/>
      </c>
      <c r="BK25" t="str">
        <f ca="1" t="shared" si="7"/>
        <v/>
      </c>
      <c r="BL25" t="str">
        <f ca="1" t="shared" si="8"/>
        <v/>
      </c>
      <c r="BO25" t="str">
        <f ca="1" t="shared" si="9"/>
        <v/>
      </c>
      <c r="BR25" t="str">
        <f ca="1">IF(B25="","",IF(AS25="Parent","",VLOOKUP(B25,step01标题尺码信息!G:P,9,0)))</f>
        <v/>
      </c>
      <c r="CY25" t="str">
        <f ca="1" t="shared" si="10"/>
        <v/>
      </c>
      <c r="DG25" t="str">
        <f ca="1">IF(B25="","",step01标题尺码信息!$T$30)</f>
        <v/>
      </c>
      <c r="DH25" t="str">
        <f ca="1" t="shared" si="11"/>
        <v/>
      </c>
      <c r="DN25" t="str">
        <f ca="1" t="shared" si="12"/>
        <v/>
      </c>
      <c r="DW25" t="str">
        <f ca="1" t="shared" si="13"/>
        <v/>
      </c>
      <c r="ER25" t="str">
        <f ca="1">IF(B25="","",step01标题尺码信息!$T$37)</f>
        <v/>
      </c>
      <c r="ES25" t="str">
        <f ca="1" t="shared" si="14"/>
        <v/>
      </c>
      <c r="HF25" t="str">
        <f ca="1">IF(B25="","",step01标题尺码信息!$S$2)</f>
        <v/>
      </c>
      <c r="HH25" t="str">
        <f ca="1" t="shared" si="15"/>
        <v/>
      </c>
      <c r="HI25" t="str">
        <f ca="1" t="shared" si="16"/>
        <v/>
      </c>
      <c r="HL25" t="str">
        <f ca="1" t="shared" si="17"/>
        <v/>
      </c>
      <c r="IA25" t="str">
        <f ca="1" t="shared" si="18"/>
        <v/>
      </c>
    </row>
    <row r="26" spans="1:235">
      <c r="A26" t="str">
        <f ca="1">IF(B26="","",step01标题尺码信息!$B$3)</f>
        <v/>
      </c>
      <c r="B26" t="str">
        <f ca="1">IF(step01标题尺码信息!G28="","",step01标题尺码信息!G28)</f>
        <v/>
      </c>
      <c r="C26" t="str">
        <f ca="1">IF(B26="","",step01标题尺码信息!$E$3)</f>
        <v/>
      </c>
      <c r="D26" t="str">
        <f ca="1" t="shared" si="0"/>
        <v/>
      </c>
      <c r="E26" t="str">
        <f ca="1">IF(B26="","",VLOOKUP(B26,step01标题尺码信息!G:P,4,0))</f>
        <v/>
      </c>
      <c r="H26" t="str">
        <f ca="1">IF(B26="","",step01标题尺码信息!$R$19)</f>
        <v/>
      </c>
      <c r="I26" t="str">
        <f ca="1" t="shared" si="1"/>
        <v/>
      </c>
      <c r="M26" t="str">
        <f ca="1" t="shared" si="2"/>
        <v/>
      </c>
      <c r="U26" t="str">
        <f ca="1">IF(B26="","",step01标题尺码信息!$S$1)</f>
        <v/>
      </c>
      <c r="V26" t="str">
        <f ca="1" t="shared" si="3"/>
        <v/>
      </c>
      <c r="W26" t="str">
        <f ca="1">IF(B26="","",step01标题尺码信息!$V$1)</f>
        <v/>
      </c>
      <c r="X26" t="str">
        <f ca="1">IF(B26="","",step01标题尺码信息!$V$2)</f>
        <v/>
      </c>
      <c r="Y26" t="str">
        <f ca="1" t="shared" si="4"/>
        <v/>
      </c>
      <c r="Z26" t="str">
        <f ca="1" t="shared" si="5"/>
        <v/>
      </c>
      <c r="AA26" t="str">
        <f ca="1">IF(B26="","",IF(CB26="Parent","",VLOOKUP(B26,step01标题尺码信息!G:P,9,0)))</f>
        <v/>
      </c>
      <c r="AG26" t="str">
        <f ca="1" t="shared" si="19"/>
        <v/>
      </c>
      <c r="AH26" t="str">
        <f ca="1" t="shared" si="20"/>
        <v/>
      </c>
      <c r="AI26" t="str">
        <f ca="1">IF(OR(B26="",VLOOKUP(BH26,step02图片链接!B:E,4,0)=""),"",VLOOKUP(BH26,step02图片链接!B:E,4,0))</f>
        <v/>
      </c>
      <c r="AJ26" t="str">
        <f ca="1">IF(OR(B26="",VLOOKUP(BH26,step02图片链接!B:G,6,0)=""),"",VLOOKUP(BH26,step02图片链接!B:G,6,0))</f>
        <v/>
      </c>
      <c r="AK26" t="str">
        <f ca="1">IF(OR(B26="",VLOOKUP(BH26,step02图片链接!B:H,7,0)=""),"",VLOOKUP(BH26,step02图片链接!B:H,7,0))</f>
        <v/>
      </c>
      <c r="AL26" t="str">
        <f ca="1">IF(OR(B26="",VLOOKUP(BH26,step02图片链接!B:I,8,0)=""),"",VLOOKUP(BH26,step02图片链接!B:I,8,0))</f>
        <v/>
      </c>
      <c r="AM26" t="str">
        <f ca="1">IF(OR(B26="",VLOOKUP(BH26,step02图片链接!B:J,9,0)=""),"",VLOOKUP(BH26,step02图片链接!B:J,9,0))</f>
        <v/>
      </c>
      <c r="AN26" t="str">
        <f ca="1">IF(OR(B26="",VLOOKUP(BH26,step02图片链接!B:K,10,0)=""),"",VLOOKUP(BH26,step02图片链接!B:K,10,0))</f>
        <v/>
      </c>
      <c r="AO26" t="str">
        <f ca="1">IF(OR(B26="",VLOOKUP(BH26,step02图片链接!B:L,11,0)=""),"",VLOOKUP(BH26,step02图片链接!B:L,11,0))</f>
        <v/>
      </c>
      <c r="AP26" t="str">
        <f ca="1">IF(OR(B26="",VLOOKUP(BH26,step02图片链接!B:M,12,0)=""),"",VLOOKUP(BH26,step02图片链接!B:M,12,0))</f>
        <v/>
      </c>
      <c r="AQ26" t="str">
        <f ca="1">IF(OR(B26="",VLOOKUP(BH26,step02图片链接!B:N,13,0)=""),"",VLOOKUP(BH26,step02图片链接!B:N,13,0))</f>
        <v/>
      </c>
      <c r="AS26" t="str">
        <f ca="1" t="shared" si="21"/>
        <v/>
      </c>
      <c r="AT26" t="str">
        <f ca="1" t="shared" si="22"/>
        <v/>
      </c>
      <c r="AU26" t="str">
        <f ca="1" t="shared" si="6"/>
        <v/>
      </c>
      <c r="AV26" t="str">
        <f ca="1">IF(B26="","",step01标题尺码信息!$T$36)</f>
        <v/>
      </c>
      <c r="AZ26" t="str">
        <f ca="1">IF(B26="","",step01标题尺码信息!$S$41)</f>
        <v/>
      </c>
      <c r="BA26" t="str">
        <f ca="1">IF(B26="","",step01标题尺码信息!$S$43)</f>
        <v/>
      </c>
      <c r="BB26" t="str">
        <f ca="1">IF(B26="","",step01标题尺码信息!$S$45)</f>
        <v/>
      </c>
      <c r="BC26" t="str">
        <f ca="1">IF(B26="","",step01标题尺码信息!$S$47)</f>
        <v/>
      </c>
      <c r="BD26" t="str">
        <f ca="1">IF(B26="","",step01标题尺码信息!$S$49)</f>
        <v/>
      </c>
      <c r="BE26" t="str">
        <f ca="1">IF(B26="","",step01标题尺码信息!$S$53)</f>
        <v/>
      </c>
      <c r="BH26" t="str">
        <f ca="1">IF(B26="","",IF(DX26="Parent","",VLOOKUP(B26,step01标题尺码信息!G:P,7,0)))</f>
        <v/>
      </c>
      <c r="BI26" t="str">
        <f ca="1">IF(B26="","",IF(DX26="Parent","",VLOOKUP(B26,step01标题尺码信息!G:P,8,0)))</f>
        <v/>
      </c>
      <c r="BK26" t="str">
        <f ca="1" t="shared" si="7"/>
        <v/>
      </c>
      <c r="BL26" t="str">
        <f ca="1" t="shared" si="8"/>
        <v/>
      </c>
      <c r="BO26" t="str">
        <f ca="1" t="shared" si="9"/>
        <v/>
      </c>
      <c r="BR26" t="str">
        <f ca="1">IF(B26="","",IF(AS26="Parent","",VLOOKUP(B26,step01标题尺码信息!G:P,9,0)))</f>
        <v/>
      </c>
      <c r="CY26" t="str">
        <f ca="1" t="shared" si="10"/>
        <v/>
      </c>
      <c r="DG26" t="str">
        <f ca="1">IF(B26="","",step01标题尺码信息!$T$30)</f>
        <v/>
      </c>
      <c r="DH26" t="str">
        <f ca="1" t="shared" si="11"/>
        <v/>
      </c>
      <c r="DN26" t="str">
        <f ca="1" t="shared" si="12"/>
        <v/>
      </c>
      <c r="DW26" t="str">
        <f ca="1" t="shared" si="13"/>
        <v/>
      </c>
      <c r="ER26" t="str">
        <f ca="1">IF(B26="","",step01标题尺码信息!$T$37)</f>
        <v/>
      </c>
      <c r="ES26" t="str">
        <f ca="1" t="shared" si="14"/>
        <v/>
      </c>
      <c r="HF26" t="str">
        <f ca="1">IF(B26="","",step01标题尺码信息!$S$2)</f>
        <v/>
      </c>
      <c r="HH26" t="str">
        <f ca="1" t="shared" si="15"/>
        <v/>
      </c>
      <c r="HI26" t="str">
        <f ca="1" t="shared" si="16"/>
        <v/>
      </c>
      <c r="HL26" t="str">
        <f ca="1" t="shared" si="17"/>
        <v/>
      </c>
      <c r="IA26" t="str">
        <f ca="1" t="shared" si="18"/>
        <v/>
      </c>
    </row>
    <row r="27" spans="1:235">
      <c r="A27" t="str">
        <f ca="1">IF(B27="","",step01标题尺码信息!$B$3)</f>
        <v/>
      </c>
      <c r="B27" t="str">
        <f ca="1">IF(step01标题尺码信息!G29="","",step01标题尺码信息!G29)</f>
        <v/>
      </c>
      <c r="C27" t="str">
        <f ca="1">IF(B27="","",step01标题尺码信息!$E$3)</f>
        <v/>
      </c>
      <c r="D27" t="str">
        <f ca="1" t="shared" si="0"/>
        <v/>
      </c>
      <c r="E27" t="str">
        <f ca="1">IF(B27="","",VLOOKUP(B27,step01标题尺码信息!G:P,4,0))</f>
        <v/>
      </c>
      <c r="H27" t="str">
        <f ca="1">IF(B27="","",step01标题尺码信息!$R$19)</f>
        <v/>
      </c>
      <c r="I27" t="str">
        <f ca="1" t="shared" si="1"/>
        <v/>
      </c>
      <c r="M27" t="str">
        <f ca="1" t="shared" si="2"/>
        <v/>
      </c>
      <c r="U27" t="str">
        <f ca="1">IF(B27="","",step01标题尺码信息!$S$1)</f>
        <v/>
      </c>
      <c r="V27" t="str">
        <f ca="1" t="shared" si="3"/>
        <v/>
      </c>
      <c r="W27" t="str">
        <f ca="1">IF(B27="","",step01标题尺码信息!$V$1)</f>
        <v/>
      </c>
      <c r="X27" t="str">
        <f ca="1">IF(B27="","",step01标题尺码信息!$V$2)</f>
        <v/>
      </c>
      <c r="Y27" t="str">
        <f ca="1" t="shared" si="4"/>
        <v/>
      </c>
      <c r="Z27" t="str">
        <f ca="1" t="shared" si="5"/>
        <v/>
      </c>
      <c r="AA27" t="str">
        <f ca="1">IF(B27="","",IF(CB27="Parent","",VLOOKUP(B27,step01标题尺码信息!G:P,9,0)))</f>
        <v/>
      </c>
      <c r="AG27" t="str">
        <f ca="1" t="shared" si="19"/>
        <v/>
      </c>
      <c r="AH27" t="str">
        <f ca="1" t="shared" si="20"/>
        <v/>
      </c>
      <c r="AI27" t="str">
        <f ca="1">IF(OR(B27="",VLOOKUP(BH27,step02图片链接!B:E,4,0)=""),"",VLOOKUP(BH27,step02图片链接!B:E,4,0))</f>
        <v/>
      </c>
      <c r="AJ27" t="str">
        <f ca="1">IF(OR(B27="",VLOOKUP(BH27,step02图片链接!B:G,6,0)=""),"",VLOOKUP(BH27,step02图片链接!B:G,6,0))</f>
        <v/>
      </c>
      <c r="AK27" t="str">
        <f ca="1">IF(OR(B27="",VLOOKUP(BH27,step02图片链接!B:H,7,0)=""),"",VLOOKUP(BH27,step02图片链接!B:H,7,0))</f>
        <v/>
      </c>
      <c r="AL27" t="str">
        <f ca="1">IF(OR(B27="",VLOOKUP(BH27,step02图片链接!B:I,8,0)=""),"",VLOOKUP(BH27,step02图片链接!B:I,8,0))</f>
        <v/>
      </c>
      <c r="AM27" t="str">
        <f ca="1">IF(OR(B27="",VLOOKUP(BH27,step02图片链接!B:J,9,0)=""),"",VLOOKUP(BH27,step02图片链接!B:J,9,0))</f>
        <v/>
      </c>
      <c r="AN27" t="str">
        <f ca="1">IF(OR(B27="",VLOOKUP(BH27,step02图片链接!B:K,10,0)=""),"",VLOOKUP(BH27,step02图片链接!B:K,10,0))</f>
        <v/>
      </c>
      <c r="AO27" t="str">
        <f ca="1">IF(OR(B27="",VLOOKUP(BH27,step02图片链接!B:L,11,0)=""),"",VLOOKUP(BH27,step02图片链接!B:L,11,0))</f>
        <v/>
      </c>
      <c r="AP27" t="str">
        <f ca="1">IF(OR(B27="",VLOOKUP(BH27,step02图片链接!B:M,12,0)=""),"",VLOOKUP(BH27,step02图片链接!B:M,12,0))</f>
        <v/>
      </c>
      <c r="AQ27" t="str">
        <f ca="1">IF(OR(B27="",VLOOKUP(BH27,step02图片链接!B:N,13,0)=""),"",VLOOKUP(BH27,step02图片链接!B:N,13,0))</f>
        <v/>
      </c>
      <c r="AS27" t="str">
        <f ca="1" t="shared" si="21"/>
        <v/>
      </c>
      <c r="AT27" t="str">
        <f ca="1" t="shared" si="22"/>
        <v/>
      </c>
      <c r="AU27" t="str">
        <f ca="1" t="shared" si="6"/>
        <v/>
      </c>
      <c r="AV27" t="str">
        <f ca="1">IF(B27="","",step01标题尺码信息!$T$36)</f>
        <v/>
      </c>
      <c r="AZ27" t="str">
        <f ca="1">IF(B27="","",step01标题尺码信息!$S$41)</f>
        <v/>
      </c>
      <c r="BA27" t="str">
        <f ca="1">IF(B27="","",step01标题尺码信息!$S$43)</f>
        <v/>
      </c>
      <c r="BB27" t="str">
        <f ca="1">IF(B27="","",step01标题尺码信息!$S$45)</f>
        <v/>
      </c>
      <c r="BC27" t="str">
        <f ca="1">IF(B27="","",step01标题尺码信息!$S$47)</f>
        <v/>
      </c>
      <c r="BD27" t="str">
        <f ca="1">IF(B27="","",step01标题尺码信息!$S$49)</f>
        <v/>
      </c>
      <c r="BE27" t="str">
        <f ca="1">IF(B27="","",step01标题尺码信息!$S$53)</f>
        <v/>
      </c>
      <c r="BH27" t="str">
        <f ca="1">IF(B27="","",IF(DX27="Parent","",VLOOKUP(B27,step01标题尺码信息!G:P,7,0)))</f>
        <v/>
      </c>
      <c r="BI27" t="str">
        <f ca="1">IF(B27="","",IF(DX27="Parent","",VLOOKUP(B27,step01标题尺码信息!G:P,8,0)))</f>
        <v/>
      </c>
      <c r="BK27" t="str">
        <f ca="1" t="shared" si="7"/>
        <v/>
      </c>
      <c r="BL27" t="str">
        <f ca="1" t="shared" si="8"/>
        <v/>
      </c>
      <c r="BO27" t="str">
        <f ca="1" t="shared" si="9"/>
        <v/>
      </c>
      <c r="BR27" t="str">
        <f ca="1">IF(B27="","",IF(AS27="Parent","",VLOOKUP(B27,step01标题尺码信息!G:P,9,0)))</f>
        <v/>
      </c>
      <c r="CY27" t="str">
        <f ca="1" t="shared" si="10"/>
        <v/>
      </c>
      <c r="DG27" t="str">
        <f ca="1">IF(B27="","",step01标题尺码信息!$T$30)</f>
        <v/>
      </c>
      <c r="DH27" t="str">
        <f ca="1" t="shared" si="11"/>
        <v/>
      </c>
      <c r="DN27" t="str">
        <f ca="1" t="shared" si="12"/>
        <v/>
      </c>
      <c r="DW27" t="str">
        <f ca="1" t="shared" si="13"/>
        <v/>
      </c>
      <c r="ER27" t="str">
        <f ca="1">IF(B27="","",step01标题尺码信息!$T$37)</f>
        <v/>
      </c>
      <c r="ES27" t="str">
        <f ca="1" t="shared" si="14"/>
        <v/>
      </c>
      <c r="HF27" t="str">
        <f ca="1">IF(B27="","",step01标题尺码信息!$S$2)</f>
        <v/>
      </c>
      <c r="HH27" t="str">
        <f ca="1" t="shared" si="15"/>
        <v/>
      </c>
      <c r="HI27" t="str">
        <f ca="1" t="shared" si="16"/>
        <v/>
      </c>
      <c r="HL27" t="str">
        <f ca="1" t="shared" si="17"/>
        <v/>
      </c>
      <c r="IA27" t="str">
        <f ca="1" t="shared" si="18"/>
        <v/>
      </c>
    </row>
    <row r="28" spans="1:235">
      <c r="A28" t="str">
        <f ca="1">IF(B28="","",step01标题尺码信息!$B$3)</f>
        <v/>
      </c>
      <c r="B28" t="str">
        <f ca="1">IF(step01标题尺码信息!G30="","",step01标题尺码信息!G30)</f>
        <v/>
      </c>
      <c r="C28" t="str">
        <f ca="1">IF(B28="","",step01标题尺码信息!$E$3)</f>
        <v/>
      </c>
      <c r="D28" t="str">
        <f ca="1" t="shared" si="0"/>
        <v/>
      </c>
      <c r="E28" t="str">
        <f ca="1">IF(B28="","",VLOOKUP(B28,step01标题尺码信息!G:P,4,0))</f>
        <v/>
      </c>
      <c r="H28" t="str">
        <f ca="1">IF(B28="","",step01标题尺码信息!$R$19)</f>
        <v/>
      </c>
      <c r="I28" t="str">
        <f ca="1" t="shared" si="1"/>
        <v/>
      </c>
      <c r="M28" t="str">
        <f ca="1" t="shared" si="2"/>
        <v/>
      </c>
      <c r="U28" t="str">
        <f ca="1">IF(B28="","",step01标题尺码信息!$S$1)</f>
        <v/>
      </c>
      <c r="V28" t="str">
        <f ca="1" t="shared" si="3"/>
        <v/>
      </c>
      <c r="W28" t="str">
        <f ca="1">IF(B28="","",step01标题尺码信息!$V$1)</f>
        <v/>
      </c>
      <c r="X28" t="str">
        <f ca="1">IF(B28="","",step01标题尺码信息!$V$2)</f>
        <v/>
      </c>
      <c r="Y28" t="str">
        <f ca="1" t="shared" si="4"/>
        <v/>
      </c>
      <c r="Z28" t="str">
        <f ca="1" t="shared" si="5"/>
        <v/>
      </c>
      <c r="AA28" t="str">
        <f ca="1">IF(B28="","",IF(CB28="Parent","",VLOOKUP(B28,step01标题尺码信息!G:P,9,0)))</f>
        <v/>
      </c>
      <c r="AG28" t="str">
        <f ca="1" t="shared" si="19"/>
        <v/>
      </c>
      <c r="AH28" t="str">
        <f ca="1" t="shared" si="20"/>
        <v/>
      </c>
      <c r="AI28" t="str">
        <f ca="1">IF(OR(B28="",VLOOKUP(BH28,step02图片链接!B:E,4,0)=""),"",VLOOKUP(BH28,step02图片链接!B:E,4,0))</f>
        <v/>
      </c>
      <c r="AJ28" t="str">
        <f ca="1">IF(OR(B28="",VLOOKUP(BH28,step02图片链接!B:G,6,0)=""),"",VLOOKUP(BH28,step02图片链接!B:G,6,0))</f>
        <v/>
      </c>
      <c r="AK28" t="str">
        <f ca="1">IF(OR(B28="",VLOOKUP(BH28,step02图片链接!B:H,7,0)=""),"",VLOOKUP(BH28,step02图片链接!B:H,7,0))</f>
        <v/>
      </c>
      <c r="AL28" t="str">
        <f ca="1">IF(OR(B28="",VLOOKUP(BH28,step02图片链接!B:I,8,0)=""),"",VLOOKUP(BH28,step02图片链接!B:I,8,0))</f>
        <v/>
      </c>
      <c r="AM28" t="str">
        <f ca="1">IF(OR(B28="",VLOOKUP(BH28,step02图片链接!B:J,9,0)=""),"",VLOOKUP(BH28,step02图片链接!B:J,9,0))</f>
        <v/>
      </c>
      <c r="AN28" t="str">
        <f ca="1">IF(OR(B28="",VLOOKUP(BH28,step02图片链接!B:K,10,0)=""),"",VLOOKUP(BH28,step02图片链接!B:K,10,0))</f>
        <v/>
      </c>
      <c r="AO28" t="str">
        <f ca="1">IF(OR(B28="",VLOOKUP(BH28,step02图片链接!B:L,11,0)=""),"",VLOOKUP(BH28,step02图片链接!B:L,11,0))</f>
        <v/>
      </c>
      <c r="AP28" t="str">
        <f ca="1">IF(OR(B28="",VLOOKUP(BH28,step02图片链接!B:M,12,0)=""),"",VLOOKUP(BH28,step02图片链接!B:M,12,0))</f>
        <v/>
      </c>
      <c r="AQ28" t="str">
        <f ca="1">IF(OR(B28="",VLOOKUP(BH28,step02图片链接!B:N,13,0)=""),"",VLOOKUP(BH28,step02图片链接!B:N,13,0))</f>
        <v/>
      </c>
      <c r="AS28" t="str">
        <f ca="1" t="shared" si="21"/>
        <v/>
      </c>
      <c r="AT28" t="str">
        <f ca="1" t="shared" si="22"/>
        <v/>
      </c>
      <c r="AU28" t="str">
        <f ca="1" t="shared" si="6"/>
        <v/>
      </c>
      <c r="AV28" t="str">
        <f ca="1">IF(B28="","",step01标题尺码信息!$T$36)</f>
        <v/>
      </c>
      <c r="AZ28" t="str">
        <f ca="1">IF(B28="","",step01标题尺码信息!$S$41)</f>
        <v/>
      </c>
      <c r="BA28" t="str">
        <f ca="1">IF(B28="","",step01标题尺码信息!$S$43)</f>
        <v/>
      </c>
      <c r="BB28" t="str">
        <f ca="1">IF(B28="","",step01标题尺码信息!$S$45)</f>
        <v/>
      </c>
      <c r="BC28" t="str">
        <f ca="1">IF(B28="","",step01标题尺码信息!$S$47)</f>
        <v/>
      </c>
      <c r="BD28" t="str">
        <f ca="1">IF(B28="","",step01标题尺码信息!$S$49)</f>
        <v/>
      </c>
      <c r="BE28" t="str">
        <f ca="1">IF(B28="","",step01标题尺码信息!$S$53)</f>
        <v/>
      </c>
      <c r="BH28" t="str">
        <f ca="1">IF(B28="","",IF(DX28="Parent","",VLOOKUP(B28,step01标题尺码信息!G:P,7,0)))</f>
        <v/>
      </c>
      <c r="BI28" t="str">
        <f ca="1">IF(B28="","",IF(DX28="Parent","",VLOOKUP(B28,step01标题尺码信息!G:P,8,0)))</f>
        <v/>
      </c>
      <c r="BK28" t="str">
        <f ca="1" t="shared" si="7"/>
        <v/>
      </c>
      <c r="BL28" t="str">
        <f ca="1" t="shared" si="8"/>
        <v/>
      </c>
      <c r="BO28" t="str">
        <f ca="1" t="shared" si="9"/>
        <v/>
      </c>
      <c r="BR28" t="str">
        <f ca="1">IF(B28="","",IF(AS28="Parent","",VLOOKUP(B28,step01标题尺码信息!G:P,9,0)))</f>
        <v/>
      </c>
      <c r="CY28" t="str">
        <f ca="1" t="shared" si="10"/>
        <v/>
      </c>
      <c r="DG28" t="str">
        <f ca="1">IF(B28="","",step01标题尺码信息!$T$30)</f>
        <v/>
      </c>
      <c r="DH28" t="str">
        <f ca="1" t="shared" si="11"/>
        <v/>
      </c>
      <c r="DN28" t="str">
        <f ca="1" t="shared" si="12"/>
        <v/>
      </c>
      <c r="DW28" t="str">
        <f ca="1" t="shared" si="13"/>
        <v/>
      </c>
      <c r="ER28" t="str">
        <f ca="1">IF(B28="","",step01标题尺码信息!$T$37)</f>
        <v/>
      </c>
      <c r="ES28" t="str">
        <f ca="1" t="shared" si="14"/>
        <v/>
      </c>
      <c r="HF28" t="str">
        <f ca="1">IF(B28="","",step01标题尺码信息!$S$2)</f>
        <v/>
      </c>
      <c r="HH28" t="str">
        <f ca="1" t="shared" si="15"/>
        <v/>
      </c>
      <c r="HI28" t="str">
        <f ca="1" t="shared" si="16"/>
        <v/>
      </c>
      <c r="HL28" t="str">
        <f ca="1" t="shared" si="17"/>
        <v/>
      </c>
      <c r="IA28" t="str">
        <f ca="1" t="shared" si="18"/>
        <v/>
      </c>
    </row>
    <row r="29" spans="1:235">
      <c r="A29" t="str">
        <f ca="1">IF(B29="","",step01标题尺码信息!$B$3)</f>
        <v/>
      </c>
      <c r="B29" t="str">
        <f ca="1">IF(step01标题尺码信息!G31="","",step01标题尺码信息!G31)</f>
        <v/>
      </c>
      <c r="C29" t="str">
        <f ca="1">IF(B29="","",step01标题尺码信息!$E$3)</f>
        <v/>
      </c>
      <c r="D29" t="str">
        <f ca="1" t="shared" si="0"/>
        <v/>
      </c>
      <c r="E29" t="str">
        <f ca="1">IF(B29="","",VLOOKUP(B29,step01标题尺码信息!G:P,4,0))</f>
        <v/>
      </c>
      <c r="H29" t="str">
        <f ca="1">IF(B29="","",step01标题尺码信息!$R$19)</f>
        <v/>
      </c>
      <c r="I29" t="str">
        <f ca="1" t="shared" si="1"/>
        <v/>
      </c>
      <c r="M29" t="str">
        <f ca="1" t="shared" si="2"/>
        <v/>
      </c>
      <c r="U29" t="str">
        <f ca="1">IF(B29="","",step01标题尺码信息!$S$1)</f>
        <v/>
      </c>
      <c r="V29" t="str">
        <f ca="1" t="shared" si="3"/>
        <v/>
      </c>
      <c r="W29" t="str">
        <f ca="1">IF(B29="","",step01标题尺码信息!$V$1)</f>
        <v/>
      </c>
      <c r="X29" t="str">
        <f ca="1">IF(B29="","",step01标题尺码信息!$V$2)</f>
        <v/>
      </c>
      <c r="Y29" t="str">
        <f ca="1" t="shared" si="4"/>
        <v/>
      </c>
      <c r="Z29" t="str">
        <f ca="1" t="shared" si="5"/>
        <v/>
      </c>
      <c r="AA29" t="str">
        <f ca="1">IF(B29="","",IF(CB29="Parent","",VLOOKUP(B29,step01标题尺码信息!G:P,9,0)))</f>
        <v/>
      </c>
      <c r="AG29" t="str">
        <f ca="1" t="shared" si="19"/>
        <v/>
      </c>
      <c r="AH29" t="str">
        <f ca="1" t="shared" si="20"/>
        <v/>
      </c>
      <c r="AI29" t="str">
        <f ca="1">IF(OR(B29="",VLOOKUP(BH29,step02图片链接!B:E,4,0)=""),"",VLOOKUP(BH29,step02图片链接!B:E,4,0))</f>
        <v/>
      </c>
      <c r="AJ29" t="str">
        <f ca="1">IF(OR(B29="",VLOOKUP(BH29,step02图片链接!B:G,6,0)=""),"",VLOOKUP(BH29,step02图片链接!B:G,6,0))</f>
        <v/>
      </c>
      <c r="AK29" t="str">
        <f ca="1">IF(OR(B29="",VLOOKUP(BH29,step02图片链接!B:H,7,0)=""),"",VLOOKUP(BH29,step02图片链接!B:H,7,0))</f>
        <v/>
      </c>
      <c r="AL29" t="str">
        <f ca="1">IF(OR(B29="",VLOOKUP(BH29,step02图片链接!B:I,8,0)=""),"",VLOOKUP(BH29,step02图片链接!B:I,8,0))</f>
        <v/>
      </c>
      <c r="AM29" t="str">
        <f ca="1">IF(OR(B29="",VLOOKUP(BH29,step02图片链接!B:J,9,0)=""),"",VLOOKUP(BH29,step02图片链接!B:J,9,0))</f>
        <v/>
      </c>
      <c r="AN29" t="str">
        <f ca="1">IF(OR(B29="",VLOOKUP(BH29,step02图片链接!B:K,10,0)=""),"",VLOOKUP(BH29,step02图片链接!B:K,10,0))</f>
        <v/>
      </c>
      <c r="AO29" t="str">
        <f ca="1">IF(OR(B29="",VLOOKUP(BH29,step02图片链接!B:L,11,0)=""),"",VLOOKUP(BH29,step02图片链接!B:L,11,0))</f>
        <v/>
      </c>
      <c r="AP29" t="str">
        <f ca="1">IF(OR(B29="",VLOOKUP(BH29,step02图片链接!B:M,12,0)=""),"",VLOOKUP(BH29,step02图片链接!B:M,12,0))</f>
        <v/>
      </c>
      <c r="AQ29" t="str">
        <f ca="1">IF(OR(B29="",VLOOKUP(BH29,step02图片链接!B:N,13,0)=""),"",VLOOKUP(BH29,step02图片链接!B:N,13,0))</f>
        <v/>
      </c>
      <c r="AS29" t="str">
        <f ca="1" t="shared" si="21"/>
        <v/>
      </c>
      <c r="AT29" t="str">
        <f ca="1" t="shared" si="22"/>
        <v/>
      </c>
      <c r="AU29" t="str">
        <f ca="1" t="shared" si="6"/>
        <v/>
      </c>
      <c r="AV29" t="str">
        <f ca="1">IF(B29="","",step01标题尺码信息!$T$36)</f>
        <v/>
      </c>
      <c r="AZ29" t="str">
        <f ca="1">IF(B29="","",step01标题尺码信息!$S$41)</f>
        <v/>
      </c>
      <c r="BA29" t="str">
        <f ca="1">IF(B29="","",step01标题尺码信息!$S$43)</f>
        <v/>
      </c>
      <c r="BB29" t="str">
        <f ca="1">IF(B29="","",step01标题尺码信息!$S$45)</f>
        <v/>
      </c>
      <c r="BC29" t="str">
        <f ca="1">IF(B29="","",step01标题尺码信息!$S$47)</f>
        <v/>
      </c>
      <c r="BD29" t="str">
        <f ca="1">IF(B29="","",step01标题尺码信息!$S$49)</f>
        <v/>
      </c>
      <c r="BE29" t="str">
        <f ca="1">IF(B29="","",step01标题尺码信息!$S$53)</f>
        <v/>
      </c>
      <c r="BH29" t="str">
        <f ca="1">IF(B29="","",IF(DX29="Parent","",VLOOKUP(B29,step01标题尺码信息!G:P,7,0)))</f>
        <v/>
      </c>
      <c r="BI29" t="str">
        <f ca="1">IF(B29="","",IF(DX29="Parent","",VLOOKUP(B29,step01标题尺码信息!G:P,8,0)))</f>
        <v/>
      </c>
      <c r="BK29" t="str">
        <f ca="1" t="shared" si="7"/>
        <v/>
      </c>
      <c r="BL29" t="str">
        <f ca="1" t="shared" si="8"/>
        <v/>
      </c>
      <c r="BO29" t="str">
        <f ca="1" t="shared" si="9"/>
        <v/>
      </c>
      <c r="BR29" t="str">
        <f ca="1">IF(B29="","",IF(AS29="Parent","",VLOOKUP(B29,step01标题尺码信息!G:P,9,0)))</f>
        <v/>
      </c>
      <c r="CY29" t="str">
        <f ca="1" t="shared" si="10"/>
        <v/>
      </c>
      <c r="DG29" t="str">
        <f ca="1">IF(B29="","",step01标题尺码信息!$T$30)</f>
        <v/>
      </c>
      <c r="DH29" t="str">
        <f ca="1" t="shared" si="11"/>
        <v/>
      </c>
      <c r="DN29" t="str">
        <f ca="1" t="shared" si="12"/>
        <v/>
      </c>
      <c r="DW29" t="str">
        <f ca="1" t="shared" si="13"/>
        <v/>
      </c>
      <c r="ER29" t="str">
        <f ca="1">IF(B29="","",step01标题尺码信息!$T$37)</f>
        <v/>
      </c>
      <c r="ES29" t="str">
        <f ca="1" t="shared" si="14"/>
        <v/>
      </c>
      <c r="HF29" t="str">
        <f ca="1">IF(B29="","",step01标题尺码信息!$S$2)</f>
        <v/>
      </c>
      <c r="HH29" t="str">
        <f ca="1" t="shared" si="15"/>
        <v/>
      </c>
      <c r="HI29" t="str">
        <f ca="1" t="shared" si="16"/>
        <v/>
      </c>
      <c r="HL29" t="str">
        <f ca="1" t="shared" si="17"/>
        <v/>
      </c>
      <c r="IA29" t="str">
        <f ca="1" t="shared" si="18"/>
        <v/>
      </c>
    </row>
    <row r="30" spans="1:235">
      <c r="A30" t="str">
        <f ca="1">IF(B30="","",step01标题尺码信息!$B$3)</f>
        <v/>
      </c>
      <c r="B30" t="str">
        <f ca="1">IF(step01标题尺码信息!G32="","",step01标题尺码信息!G32)</f>
        <v/>
      </c>
      <c r="C30" t="str">
        <f ca="1">IF(B30="","",step01标题尺码信息!$E$3)</f>
        <v/>
      </c>
      <c r="D30" t="str">
        <f ca="1" t="shared" si="0"/>
        <v/>
      </c>
      <c r="E30" t="str">
        <f ca="1">IF(B30="","",VLOOKUP(B30,step01标题尺码信息!G:P,4,0))</f>
        <v/>
      </c>
      <c r="H30" t="str">
        <f ca="1">IF(B30="","",step01标题尺码信息!$R$19)</f>
        <v/>
      </c>
      <c r="I30" t="str">
        <f ca="1" t="shared" si="1"/>
        <v/>
      </c>
      <c r="M30" t="str">
        <f ca="1" t="shared" si="2"/>
        <v/>
      </c>
      <c r="U30" t="str">
        <f ca="1">IF(B30="","",step01标题尺码信息!$S$1)</f>
        <v/>
      </c>
      <c r="V30" t="str">
        <f ca="1" t="shared" si="3"/>
        <v/>
      </c>
      <c r="W30" t="str">
        <f ca="1">IF(B30="","",step01标题尺码信息!$V$1)</f>
        <v/>
      </c>
      <c r="X30" t="str">
        <f ca="1">IF(B30="","",step01标题尺码信息!$V$2)</f>
        <v/>
      </c>
      <c r="Y30" t="str">
        <f ca="1" t="shared" si="4"/>
        <v/>
      </c>
      <c r="Z30" t="str">
        <f ca="1" t="shared" si="5"/>
        <v/>
      </c>
      <c r="AA30" t="str">
        <f ca="1">IF(B30="","",IF(CB30="Parent","",VLOOKUP(B30,step01标题尺码信息!G:P,9,0)))</f>
        <v/>
      </c>
      <c r="AG30" t="str">
        <f ca="1" t="shared" si="19"/>
        <v/>
      </c>
      <c r="AH30" t="str">
        <f ca="1" t="shared" si="20"/>
        <v/>
      </c>
      <c r="AI30" t="str">
        <f ca="1">IF(OR(B30="",VLOOKUP(BH30,step02图片链接!B:E,4,0)=""),"",VLOOKUP(BH30,step02图片链接!B:E,4,0))</f>
        <v/>
      </c>
      <c r="AJ30" t="str">
        <f ca="1">IF(OR(B30="",VLOOKUP(BH30,step02图片链接!B:G,6,0)=""),"",VLOOKUP(BH30,step02图片链接!B:G,6,0))</f>
        <v/>
      </c>
      <c r="AK30" t="str">
        <f ca="1">IF(OR(B30="",VLOOKUP(BH30,step02图片链接!B:H,7,0)=""),"",VLOOKUP(BH30,step02图片链接!B:H,7,0))</f>
        <v/>
      </c>
      <c r="AL30" t="str">
        <f ca="1">IF(OR(B30="",VLOOKUP(BH30,step02图片链接!B:I,8,0)=""),"",VLOOKUP(BH30,step02图片链接!B:I,8,0))</f>
        <v/>
      </c>
      <c r="AM30" t="str">
        <f ca="1">IF(OR(B30="",VLOOKUP(BH30,step02图片链接!B:J,9,0)=""),"",VLOOKUP(BH30,step02图片链接!B:J,9,0))</f>
        <v/>
      </c>
      <c r="AN30" t="str">
        <f ca="1">IF(OR(B30="",VLOOKUP(BH30,step02图片链接!B:K,10,0)=""),"",VLOOKUP(BH30,step02图片链接!B:K,10,0))</f>
        <v/>
      </c>
      <c r="AO30" t="str">
        <f ca="1">IF(OR(B30="",VLOOKUP(BH30,step02图片链接!B:L,11,0)=""),"",VLOOKUP(BH30,step02图片链接!B:L,11,0))</f>
        <v/>
      </c>
      <c r="AP30" t="str">
        <f ca="1">IF(OR(B30="",VLOOKUP(BH30,step02图片链接!B:M,12,0)=""),"",VLOOKUP(BH30,step02图片链接!B:M,12,0))</f>
        <v/>
      </c>
      <c r="AQ30" t="str">
        <f ca="1">IF(OR(B30="",VLOOKUP(BH30,step02图片链接!B:N,13,0)=""),"",VLOOKUP(BH30,step02图片链接!B:N,13,0))</f>
        <v/>
      </c>
      <c r="AS30" t="str">
        <f ca="1" t="shared" si="21"/>
        <v/>
      </c>
      <c r="AT30" t="str">
        <f ca="1" t="shared" si="22"/>
        <v/>
      </c>
      <c r="AU30" t="str">
        <f ca="1" t="shared" si="6"/>
        <v/>
      </c>
      <c r="AV30" t="str">
        <f ca="1">IF(B30="","",step01标题尺码信息!$T$36)</f>
        <v/>
      </c>
      <c r="AZ30" t="str">
        <f ca="1">IF(B30="","",step01标题尺码信息!$S$41)</f>
        <v/>
      </c>
      <c r="BA30" t="str">
        <f ca="1">IF(B30="","",step01标题尺码信息!$S$43)</f>
        <v/>
      </c>
      <c r="BB30" t="str">
        <f ca="1">IF(B30="","",step01标题尺码信息!$S$45)</f>
        <v/>
      </c>
      <c r="BC30" t="str">
        <f ca="1">IF(B30="","",step01标题尺码信息!$S$47)</f>
        <v/>
      </c>
      <c r="BD30" t="str">
        <f ca="1">IF(B30="","",step01标题尺码信息!$S$49)</f>
        <v/>
      </c>
      <c r="BE30" t="str">
        <f ca="1">IF(B30="","",step01标题尺码信息!$S$53)</f>
        <v/>
      </c>
      <c r="BH30" t="str">
        <f ca="1">IF(B30="","",IF(DX30="Parent","",VLOOKUP(B30,step01标题尺码信息!G:P,7,0)))</f>
        <v/>
      </c>
      <c r="BI30" t="str">
        <f ca="1">IF(B30="","",IF(DX30="Parent","",VLOOKUP(B30,step01标题尺码信息!G:P,8,0)))</f>
        <v/>
      </c>
      <c r="BK30" t="str">
        <f ca="1" t="shared" si="7"/>
        <v/>
      </c>
      <c r="BL30" t="str">
        <f ca="1" t="shared" si="8"/>
        <v/>
      </c>
      <c r="BO30" t="str">
        <f ca="1" t="shared" si="9"/>
        <v/>
      </c>
      <c r="BR30" t="str">
        <f ca="1">IF(B30="","",IF(AS30="Parent","",VLOOKUP(B30,step01标题尺码信息!G:P,9,0)))</f>
        <v/>
      </c>
      <c r="CY30" t="str">
        <f ca="1" t="shared" si="10"/>
        <v/>
      </c>
      <c r="DG30" t="str">
        <f ca="1">IF(B30="","",step01标题尺码信息!$T$30)</f>
        <v/>
      </c>
      <c r="DH30" t="str">
        <f ca="1" t="shared" si="11"/>
        <v/>
      </c>
      <c r="DN30" t="str">
        <f ca="1" t="shared" si="12"/>
        <v/>
      </c>
      <c r="DW30" t="str">
        <f ca="1" t="shared" si="13"/>
        <v/>
      </c>
      <c r="ER30" t="str">
        <f ca="1">IF(B30="","",step01标题尺码信息!$T$37)</f>
        <v/>
      </c>
      <c r="ES30" t="str">
        <f ca="1" t="shared" si="14"/>
        <v/>
      </c>
      <c r="HF30" t="str">
        <f ca="1">IF(B30="","",step01标题尺码信息!$S$2)</f>
        <v/>
      </c>
      <c r="HH30" t="str">
        <f ca="1" t="shared" si="15"/>
        <v/>
      </c>
      <c r="HI30" t="str">
        <f ca="1" t="shared" si="16"/>
        <v/>
      </c>
      <c r="HL30" t="str">
        <f ca="1" t="shared" si="17"/>
        <v/>
      </c>
      <c r="IA30" t="str">
        <f ca="1" t="shared" si="18"/>
        <v/>
      </c>
    </row>
    <row r="31" spans="1:235">
      <c r="A31" t="str">
        <f ca="1">IF(B31="","",step01标题尺码信息!$B$3)</f>
        <v/>
      </c>
      <c r="B31" t="str">
        <f ca="1">IF(step01标题尺码信息!G33="","",step01标题尺码信息!G33)</f>
        <v/>
      </c>
      <c r="C31" t="str">
        <f ca="1">IF(B31="","",step01标题尺码信息!$E$3)</f>
        <v/>
      </c>
      <c r="D31" t="str">
        <f ca="1" t="shared" si="0"/>
        <v/>
      </c>
      <c r="E31" t="str">
        <f ca="1">IF(B31="","",VLOOKUP(B31,step01标题尺码信息!G:P,4,0))</f>
        <v/>
      </c>
      <c r="H31" t="str">
        <f ca="1">IF(B31="","",step01标题尺码信息!$R$19)</f>
        <v/>
      </c>
      <c r="I31" t="str">
        <f ca="1" t="shared" si="1"/>
        <v/>
      </c>
      <c r="M31" t="str">
        <f ca="1" t="shared" si="2"/>
        <v/>
      </c>
      <c r="U31" t="str">
        <f ca="1">IF(B31="","",step01标题尺码信息!$S$1)</f>
        <v/>
      </c>
      <c r="V31" t="str">
        <f ca="1" t="shared" si="3"/>
        <v/>
      </c>
      <c r="W31" t="str">
        <f ca="1">IF(B31="","",step01标题尺码信息!$V$1)</f>
        <v/>
      </c>
      <c r="X31" t="str">
        <f ca="1">IF(B31="","",step01标题尺码信息!$V$2)</f>
        <v/>
      </c>
      <c r="Y31" t="str">
        <f ca="1" t="shared" si="4"/>
        <v/>
      </c>
      <c r="Z31" t="str">
        <f ca="1" t="shared" si="5"/>
        <v/>
      </c>
      <c r="AA31" t="str">
        <f ca="1">IF(B31="","",IF(CB31="Parent","",VLOOKUP(B31,step01标题尺码信息!G:P,9,0)))</f>
        <v/>
      </c>
      <c r="AG31" t="str">
        <f ca="1" t="shared" si="19"/>
        <v/>
      </c>
      <c r="AH31" t="str">
        <f ca="1" t="shared" si="20"/>
        <v/>
      </c>
      <c r="AI31" t="str">
        <f ca="1">IF(OR(B31="",VLOOKUP(BH31,step02图片链接!B:E,4,0)=""),"",VLOOKUP(BH31,step02图片链接!B:E,4,0))</f>
        <v/>
      </c>
      <c r="AJ31" t="str">
        <f ca="1">IF(OR(B31="",VLOOKUP(BH31,step02图片链接!B:G,6,0)=""),"",VLOOKUP(BH31,step02图片链接!B:G,6,0))</f>
        <v/>
      </c>
      <c r="AK31" t="str">
        <f ca="1">IF(OR(B31="",VLOOKUP(BH31,step02图片链接!B:H,7,0)=""),"",VLOOKUP(BH31,step02图片链接!B:H,7,0))</f>
        <v/>
      </c>
      <c r="AL31" t="str">
        <f ca="1">IF(OR(B31="",VLOOKUP(BH31,step02图片链接!B:I,8,0)=""),"",VLOOKUP(BH31,step02图片链接!B:I,8,0))</f>
        <v/>
      </c>
      <c r="AM31" t="str">
        <f ca="1">IF(OR(B31="",VLOOKUP(BH31,step02图片链接!B:J,9,0)=""),"",VLOOKUP(BH31,step02图片链接!B:J,9,0))</f>
        <v/>
      </c>
      <c r="AN31" t="str">
        <f ca="1">IF(OR(B31="",VLOOKUP(BH31,step02图片链接!B:K,10,0)=""),"",VLOOKUP(BH31,step02图片链接!B:K,10,0))</f>
        <v/>
      </c>
      <c r="AO31" t="str">
        <f ca="1">IF(OR(B31="",VLOOKUP(BH31,step02图片链接!B:L,11,0)=""),"",VLOOKUP(BH31,step02图片链接!B:L,11,0))</f>
        <v/>
      </c>
      <c r="AP31" t="str">
        <f ca="1">IF(OR(B31="",VLOOKUP(BH31,step02图片链接!B:M,12,0)=""),"",VLOOKUP(BH31,step02图片链接!B:M,12,0))</f>
        <v/>
      </c>
      <c r="AQ31" t="str">
        <f ca="1">IF(OR(B31="",VLOOKUP(BH31,step02图片链接!B:N,13,0)=""),"",VLOOKUP(BH31,step02图片链接!B:N,13,0))</f>
        <v/>
      </c>
      <c r="AS31" t="str">
        <f ca="1" t="shared" si="21"/>
        <v/>
      </c>
      <c r="AT31" t="str">
        <f ca="1" t="shared" si="22"/>
        <v/>
      </c>
      <c r="AU31" t="str">
        <f ca="1" t="shared" si="6"/>
        <v/>
      </c>
      <c r="AV31" t="str">
        <f ca="1">IF(B31="","",step01标题尺码信息!$T$36)</f>
        <v/>
      </c>
      <c r="AZ31" t="str">
        <f ca="1">IF(B31="","",step01标题尺码信息!$S$41)</f>
        <v/>
      </c>
      <c r="BA31" t="str">
        <f ca="1">IF(B31="","",step01标题尺码信息!$S$43)</f>
        <v/>
      </c>
      <c r="BB31" t="str">
        <f ca="1">IF(B31="","",step01标题尺码信息!$S$45)</f>
        <v/>
      </c>
      <c r="BC31" t="str">
        <f ca="1">IF(B31="","",step01标题尺码信息!$S$47)</f>
        <v/>
      </c>
      <c r="BD31" t="str">
        <f ca="1">IF(B31="","",step01标题尺码信息!$S$49)</f>
        <v/>
      </c>
      <c r="BE31" t="str">
        <f ca="1">IF(B31="","",step01标题尺码信息!$S$53)</f>
        <v/>
      </c>
      <c r="BH31" t="str">
        <f ca="1">IF(B31="","",IF(DX31="Parent","",VLOOKUP(B31,step01标题尺码信息!G:P,7,0)))</f>
        <v/>
      </c>
      <c r="BI31" t="str">
        <f ca="1">IF(B31="","",IF(DX31="Parent","",VLOOKUP(B31,step01标题尺码信息!G:P,8,0)))</f>
        <v/>
      </c>
      <c r="BK31" t="str">
        <f ca="1" t="shared" si="7"/>
        <v/>
      </c>
      <c r="BL31" t="str">
        <f ca="1" t="shared" si="8"/>
        <v/>
      </c>
      <c r="BO31" t="str">
        <f ca="1" t="shared" si="9"/>
        <v/>
      </c>
      <c r="BR31" t="str">
        <f ca="1">IF(B31="","",IF(AS31="Parent","",VLOOKUP(B31,step01标题尺码信息!G:P,9,0)))</f>
        <v/>
      </c>
      <c r="CY31" t="str">
        <f ca="1" t="shared" si="10"/>
        <v/>
      </c>
      <c r="DG31" t="str">
        <f ca="1">IF(B31="","",step01标题尺码信息!$T$30)</f>
        <v/>
      </c>
      <c r="DH31" t="str">
        <f ca="1" t="shared" si="11"/>
        <v/>
      </c>
      <c r="DN31" t="str">
        <f ca="1" t="shared" si="12"/>
        <v/>
      </c>
      <c r="DW31" t="str">
        <f ca="1" t="shared" si="13"/>
        <v/>
      </c>
      <c r="ER31" t="str">
        <f ca="1">IF(B31="","",step01标题尺码信息!$T$37)</f>
        <v/>
      </c>
      <c r="ES31" t="str">
        <f ca="1" t="shared" si="14"/>
        <v/>
      </c>
      <c r="HF31" t="str">
        <f ca="1">IF(B31="","",step01标题尺码信息!$S$2)</f>
        <v/>
      </c>
      <c r="HH31" t="str">
        <f ca="1" t="shared" si="15"/>
        <v/>
      </c>
      <c r="HI31" t="str">
        <f ca="1" t="shared" si="16"/>
        <v/>
      </c>
      <c r="HL31" t="str">
        <f ca="1" t="shared" si="17"/>
        <v/>
      </c>
      <c r="IA31" t="str">
        <f ca="1" t="shared" si="18"/>
        <v/>
      </c>
    </row>
    <row r="32" spans="1:235">
      <c r="A32" t="str">
        <f ca="1">IF(B32="","",step01标题尺码信息!$B$3)</f>
        <v/>
      </c>
      <c r="B32" t="str">
        <f ca="1">IF(step01标题尺码信息!G34="","",step01标题尺码信息!G34)</f>
        <v/>
      </c>
      <c r="C32" t="str">
        <f ca="1">IF(B32="","",step01标题尺码信息!$E$3)</f>
        <v/>
      </c>
      <c r="D32" t="str">
        <f ca="1" t="shared" si="0"/>
        <v/>
      </c>
      <c r="E32" t="str">
        <f ca="1">IF(B32="","",VLOOKUP(B32,step01标题尺码信息!G:P,4,0))</f>
        <v/>
      </c>
      <c r="H32" t="str">
        <f ca="1">IF(B32="","",step01标题尺码信息!$R$19)</f>
        <v/>
      </c>
      <c r="I32" t="str">
        <f ca="1" t="shared" si="1"/>
        <v/>
      </c>
      <c r="M32" t="str">
        <f ca="1" t="shared" si="2"/>
        <v/>
      </c>
      <c r="U32" t="str">
        <f ca="1">IF(B32="","",step01标题尺码信息!$S$1)</f>
        <v/>
      </c>
      <c r="V32" t="str">
        <f ca="1" t="shared" si="3"/>
        <v/>
      </c>
      <c r="W32" t="str">
        <f ca="1">IF(B32="","",step01标题尺码信息!$V$1)</f>
        <v/>
      </c>
      <c r="X32" t="str">
        <f ca="1">IF(B32="","",step01标题尺码信息!$V$2)</f>
        <v/>
      </c>
      <c r="Y32" t="str">
        <f ca="1" t="shared" si="4"/>
        <v/>
      </c>
      <c r="Z32" t="str">
        <f ca="1" t="shared" si="5"/>
        <v/>
      </c>
      <c r="AA32" t="str">
        <f ca="1">IF(B32="","",IF(CB32="Parent","",VLOOKUP(B32,step01标题尺码信息!G:P,9,0)))</f>
        <v/>
      </c>
      <c r="AG32" t="str">
        <f ca="1" t="shared" si="19"/>
        <v/>
      </c>
      <c r="AH32" t="str">
        <f ca="1" t="shared" si="20"/>
        <v/>
      </c>
      <c r="AI32" t="str">
        <f ca="1">IF(OR(B32="",VLOOKUP(BH32,step02图片链接!B:E,4,0)=""),"",VLOOKUP(BH32,step02图片链接!B:E,4,0))</f>
        <v/>
      </c>
      <c r="AJ32" t="str">
        <f ca="1">IF(OR(B32="",VLOOKUP(BH32,step02图片链接!B:G,6,0)=""),"",VLOOKUP(BH32,step02图片链接!B:G,6,0))</f>
        <v/>
      </c>
      <c r="AK32" t="str">
        <f ca="1">IF(OR(B32="",VLOOKUP(BH32,step02图片链接!B:H,7,0)=""),"",VLOOKUP(BH32,step02图片链接!B:H,7,0))</f>
        <v/>
      </c>
      <c r="AL32" t="str">
        <f ca="1">IF(OR(B32="",VLOOKUP(BH32,step02图片链接!B:I,8,0)=""),"",VLOOKUP(BH32,step02图片链接!B:I,8,0))</f>
        <v/>
      </c>
      <c r="AM32" t="str">
        <f ca="1">IF(OR(B32="",VLOOKUP(BH32,step02图片链接!B:J,9,0)=""),"",VLOOKUP(BH32,step02图片链接!B:J,9,0))</f>
        <v/>
      </c>
      <c r="AN32" t="str">
        <f ca="1">IF(OR(B32="",VLOOKUP(BH32,step02图片链接!B:K,10,0)=""),"",VLOOKUP(BH32,step02图片链接!B:K,10,0))</f>
        <v/>
      </c>
      <c r="AO32" t="str">
        <f ca="1">IF(OR(B32="",VLOOKUP(BH32,step02图片链接!B:L,11,0)=""),"",VLOOKUP(BH32,step02图片链接!B:L,11,0))</f>
        <v/>
      </c>
      <c r="AP32" t="str">
        <f ca="1">IF(OR(B32="",VLOOKUP(BH32,step02图片链接!B:M,12,0)=""),"",VLOOKUP(BH32,step02图片链接!B:M,12,0))</f>
        <v/>
      </c>
      <c r="AQ32" t="str">
        <f ca="1">IF(OR(B32="",VLOOKUP(BH32,step02图片链接!B:N,13,0)=""),"",VLOOKUP(BH32,step02图片链接!B:N,13,0))</f>
        <v/>
      </c>
      <c r="AS32" t="str">
        <f ca="1" t="shared" si="21"/>
        <v/>
      </c>
      <c r="AT32" t="str">
        <f ca="1" t="shared" si="22"/>
        <v/>
      </c>
      <c r="AU32" t="str">
        <f ca="1" t="shared" si="6"/>
        <v/>
      </c>
      <c r="AV32" t="str">
        <f ca="1">IF(B32="","",step01标题尺码信息!$T$36)</f>
        <v/>
      </c>
      <c r="AZ32" t="str">
        <f ca="1">IF(B32="","",step01标题尺码信息!$S$41)</f>
        <v/>
      </c>
      <c r="BA32" t="str">
        <f ca="1">IF(B32="","",step01标题尺码信息!$S$43)</f>
        <v/>
      </c>
      <c r="BB32" t="str">
        <f ca="1">IF(B32="","",step01标题尺码信息!$S$45)</f>
        <v/>
      </c>
      <c r="BC32" t="str">
        <f ca="1">IF(B32="","",step01标题尺码信息!$S$47)</f>
        <v/>
      </c>
      <c r="BD32" t="str">
        <f ca="1">IF(B32="","",step01标题尺码信息!$S$49)</f>
        <v/>
      </c>
      <c r="BE32" t="str">
        <f ca="1">IF(B32="","",step01标题尺码信息!$S$53)</f>
        <v/>
      </c>
      <c r="BH32" t="str">
        <f ca="1">IF(B32="","",IF(DX32="Parent","",VLOOKUP(B32,step01标题尺码信息!G:P,7,0)))</f>
        <v/>
      </c>
      <c r="BI32" t="str">
        <f ca="1">IF(B32="","",IF(DX32="Parent","",VLOOKUP(B32,step01标题尺码信息!G:P,8,0)))</f>
        <v/>
      </c>
      <c r="BK32" t="str">
        <f ca="1" t="shared" si="7"/>
        <v/>
      </c>
      <c r="BL32" t="str">
        <f ca="1" t="shared" si="8"/>
        <v/>
      </c>
      <c r="BO32" t="str">
        <f ca="1" t="shared" si="9"/>
        <v/>
      </c>
      <c r="BR32" t="str">
        <f ca="1">IF(B32="","",IF(AS32="Parent","",VLOOKUP(B32,step01标题尺码信息!G:P,9,0)))</f>
        <v/>
      </c>
      <c r="CY32" t="str">
        <f ca="1" t="shared" si="10"/>
        <v/>
      </c>
      <c r="DG32" t="str">
        <f ca="1">IF(B32="","",step01标题尺码信息!$T$30)</f>
        <v/>
      </c>
      <c r="DH32" t="str">
        <f ca="1" t="shared" si="11"/>
        <v/>
      </c>
      <c r="DN32" t="str">
        <f ca="1" t="shared" si="12"/>
        <v/>
      </c>
      <c r="DW32" t="str">
        <f ca="1" t="shared" si="13"/>
        <v/>
      </c>
      <c r="ER32" t="str">
        <f ca="1">IF(B32="","",step01标题尺码信息!$T$37)</f>
        <v/>
      </c>
      <c r="ES32" t="str">
        <f ca="1" t="shared" si="14"/>
        <v/>
      </c>
      <c r="HF32" t="str">
        <f ca="1">IF(B32="","",step01标题尺码信息!$S$2)</f>
        <v/>
      </c>
      <c r="HH32" t="str">
        <f ca="1" t="shared" si="15"/>
        <v/>
      </c>
      <c r="HI32" t="str">
        <f ca="1" t="shared" si="16"/>
        <v/>
      </c>
      <c r="HL32" t="str">
        <f ca="1" t="shared" si="17"/>
        <v/>
      </c>
      <c r="IA32" t="str">
        <f ca="1" t="shared" si="18"/>
        <v/>
      </c>
    </row>
    <row r="33" spans="1:235">
      <c r="A33" t="str">
        <f ca="1">IF(B33="","",step01标题尺码信息!$B$3)</f>
        <v/>
      </c>
      <c r="B33" t="str">
        <f ca="1">IF(step01标题尺码信息!G35="","",step01标题尺码信息!G35)</f>
        <v/>
      </c>
      <c r="C33" t="str">
        <f ca="1">IF(B33="","",step01标题尺码信息!$E$3)</f>
        <v/>
      </c>
      <c r="D33" t="str">
        <f ca="1" t="shared" si="0"/>
        <v/>
      </c>
      <c r="E33" t="str">
        <f ca="1">IF(B33="","",VLOOKUP(B33,step01标题尺码信息!G:P,4,0))</f>
        <v/>
      </c>
      <c r="H33" t="str">
        <f ca="1">IF(B33="","",step01标题尺码信息!$R$19)</f>
        <v/>
      </c>
      <c r="I33" t="str">
        <f ca="1" t="shared" si="1"/>
        <v/>
      </c>
      <c r="M33" t="str">
        <f ca="1" t="shared" si="2"/>
        <v/>
      </c>
      <c r="U33" t="str">
        <f ca="1">IF(B33="","",step01标题尺码信息!$S$1)</f>
        <v/>
      </c>
      <c r="V33" t="str">
        <f ca="1" t="shared" si="3"/>
        <v/>
      </c>
      <c r="W33" t="str">
        <f ca="1">IF(B33="","",step01标题尺码信息!$V$1)</f>
        <v/>
      </c>
      <c r="X33" t="str">
        <f ca="1">IF(B33="","",step01标题尺码信息!$V$2)</f>
        <v/>
      </c>
      <c r="Y33" t="str">
        <f ca="1" t="shared" si="4"/>
        <v/>
      </c>
      <c r="Z33" t="str">
        <f ca="1" t="shared" si="5"/>
        <v/>
      </c>
      <c r="AA33" t="str">
        <f ca="1">IF(B33="","",IF(CB33="Parent","",VLOOKUP(B33,step01标题尺码信息!G:P,9,0)))</f>
        <v/>
      </c>
      <c r="AG33" t="str">
        <f ca="1" t="shared" si="19"/>
        <v/>
      </c>
      <c r="AH33" t="str">
        <f ca="1" t="shared" si="20"/>
        <v/>
      </c>
      <c r="AI33" t="str">
        <f ca="1">IF(OR(B33="",VLOOKUP(BH33,step02图片链接!B:E,4,0)=""),"",VLOOKUP(BH33,step02图片链接!B:E,4,0))</f>
        <v/>
      </c>
      <c r="AJ33" t="str">
        <f ca="1">IF(OR(B33="",VLOOKUP(BH33,step02图片链接!B:G,6,0)=""),"",VLOOKUP(BH33,step02图片链接!B:G,6,0))</f>
        <v/>
      </c>
      <c r="AK33" t="str">
        <f ca="1">IF(OR(B33="",VLOOKUP(BH33,step02图片链接!B:H,7,0)=""),"",VLOOKUP(BH33,step02图片链接!B:H,7,0))</f>
        <v/>
      </c>
      <c r="AL33" t="str">
        <f ca="1">IF(OR(B33="",VLOOKUP(BH33,step02图片链接!B:I,8,0)=""),"",VLOOKUP(BH33,step02图片链接!B:I,8,0))</f>
        <v/>
      </c>
      <c r="AM33" t="str">
        <f ca="1">IF(OR(B33="",VLOOKUP(BH33,step02图片链接!B:J,9,0)=""),"",VLOOKUP(BH33,step02图片链接!B:J,9,0))</f>
        <v/>
      </c>
      <c r="AN33" t="str">
        <f ca="1">IF(OR(B33="",VLOOKUP(BH33,step02图片链接!B:K,10,0)=""),"",VLOOKUP(BH33,step02图片链接!B:K,10,0))</f>
        <v/>
      </c>
      <c r="AO33" t="str">
        <f ca="1">IF(OR(B33="",VLOOKUP(BH33,step02图片链接!B:L,11,0)=""),"",VLOOKUP(BH33,step02图片链接!B:L,11,0))</f>
        <v/>
      </c>
      <c r="AP33" t="str">
        <f ca="1">IF(OR(B33="",VLOOKUP(BH33,step02图片链接!B:M,12,0)=""),"",VLOOKUP(BH33,step02图片链接!B:M,12,0))</f>
        <v/>
      </c>
      <c r="AQ33" t="str">
        <f ca="1">IF(OR(B33="",VLOOKUP(BH33,step02图片链接!B:N,13,0)=""),"",VLOOKUP(BH33,step02图片链接!B:N,13,0))</f>
        <v/>
      </c>
      <c r="AS33" t="str">
        <f ca="1" t="shared" si="21"/>
        <v/>
      </c>
      <c r="AT33" t="str">
        <f ca="1" t="shared" si="22"/>
        <v/>
      </c>
      <c r="AU33" t="str">
        <f ca="1" t="shared" si="6"/>
        <v/>
      </c>
      <c r="AV33" t="str">
        <f ca="1">IF(B33="","",step01标题尺码信息!$T$36)</f>
        <v/>
      </c>
      <c r="AZ33" t="str">
        <f ca="1">IF(B33="","",step01标题尺码信息!$S$41)</f>
        <v/>
      </c>
      <c r="BA33" t="str">
        <f ca="1">IF(B33="","",step01标题尺码信息!$S$43)</f>
        <v/>
      </c>
      <c r="BB33" t="str">
        <f ca="1">IF(B33="","",step01标题尺码信息!$S$45)</f>
        <v/>
      </c>
      <c r="BC33" t="str">
        <f ca="1">IF(B33="","",step01标题尺码信息!$S$47)</f>
        <v/>
      </c>
      <c r="BD33" t="str">
        <f ca="1">IF(B33="","",step01标题尺码信息!$S$49)</f>
        <v/>
      </c>
      <c r="BE33" t="str">
        <f ca="1">IF(B33="","",step01标题尺码信息!$S$53)</f>
        <v/>
      </c>
      <c r="BH33" t="str">
        <f ca="1">IF(B33="","",IF(DX33="Parent","",VLOOKUP(B33,step01标题尺码信息!G:P,7,0)))</f>
        <v/>
      </c>
      <c r="BI33" t="str">
        <f ca="1">IF(B33="","",IF(DX33="Parent","",VLOOKUP(B33,step01标题尺码信息!G:P,8,0)))</f>
        <v/>
      </c>
      <c r="BK33" t="str">
        <f ca="1" t="shared" si="7"/>
        <v/>
      </c>
      <c r="BL33" t="str">
        <f ca="1" t="shared" si="8"/>
        <v/>
      </c>
      <c r="BO33" t="str">
        <f ca="1" t="shared" si="9"/>
        <v/>
      </c>
      <c r="BR33" t="str">
        <f ca="1">IF(B33="","",IF(AS33="Parent","",VLOOKUP(B33,step01标题尺码信息!G:P,9,0)))</f>
        <v/>
      </c>
      <c r="CY33" t="str">
        <f ca="1" t="shared" si="10"/>
        <v/>
      </c>
      <c r="DG33" t="str">
        <f ca="1">IF(B33="","",step01标题尺码信息!$T$30)</f>
        <v/>
      </c>
      <c r="DH33" t="str">
        <f ca="1" t="shared" si="11"/>
        <v/>
      </c>
      <c r="DN33" t="str">
        <f ca="1" t="shared" si="12"/>
        <v/>
      </c>
      <c r="DW33" t="str">
        <f ca="1" t="shared" si="13"/>
        <v/>
      </c>
      <c r="ER33" t="str">
        <f ca="1">IF(B33="","",step01标题尺码信息!$T$37)</f>
        <v/>
      </c>
      <c r="ES33" t="str">
        <f ca="1" t="shared" si="14"/>
        <v/>
      </c>
      <c r="HF33" t="str">
        <f ca="1">IF(B33="","",step01标题尺码信息!$S$2)</f>
        <v/>
      </c>
      <c r="HH33" t="str">
        <f ca="1" t="shared" si="15"/>
        <v/>
      </c>
      <c r="HI33" t="str">
        <f ca="1" t="shared" si="16"/>
        <v/>
      </c>
      <c r="HL33" t="str">
        <f ca="1" t="shared" si="17"/>
        <v/>
      </c>
      <c r="IA33" t="str">
        <f ca="1" t="shared" si="18"/>
        <v/>
      </c>
    </row>
    <row r="34" spans="1:235">
      <c r="A34" t="str">
        <f ca="1">IF(B34="","",step01标题尺码信息!$B$3)</f>
        <v/>
      </c>
      <c r="B34" t="str">
        <f ca="1">IF(step01标题尺码信息!G36="","",step01标题尺码信息!G36)</f>
        <v/>
      </c>
      <c r="C34" t="str">
        <f ca="1">IF(B34="","",step01标题尺码信息!$E$3)</f>
        <v/>
      </c>
      <c r="D34" t="str">
        <f ca="1" t="shared" si="0"/>
        <v/>
      </c>
      <c r="E34" t="str">
        <f ca="1">IF(B34="","",VLOOKUP(B34,step01标题尺码信息!G:P,4,0))</f>
        <v/>
      </c>
      <c r="H34" t="str">
        <f ca="1">IF(B34="","",step01标题尺码信息!$R$19)</f>
        <v/>
      </c>
      <c r="I34" t="str">
        <f ca="1" t="shared" si="1"/>
        <v/>
      </c>
      <c r="M34" t="str">
        <f ca="1" t="shared" si="2"/>
        <v/>
      </c>
      <c r="U34" t="str">
        <f ca="1">IF(B34="","",step01标题尺码信息!$S$1)</f>
        <v/>
      </c>
      <c r="V34" t="str">
        <f ca="1" t="shared" si="3"/>
        <v/>
      </c>
      <c r="W34" t="str">
        <f ca="1">IF(B34="","",step01标题尺码信息!$V$1)</f>
        <v/>
      </c>
      <c r="X34" t="str">
        <f ca="1">IF(B34="","",step01标题尺码信息!$V$2)</f>
        <v/>
      </c>
      <c r="Y34" t="str">
        <f ca="1" t="shared" si="4"/>
        <v/>
      </c>
      <c r="Z34" t="str">
        <f ca="1" t="shared" si="5"/>
        <v/>
      </c>
      <c r="AA34" t="str">
        <f ca="1">IF(B34="","",IF(CB34="Parent","",VLOOKUP(B34,step01标题尺码信息!G:P,9,0)))</f>
        <v/>
      </c>
      <c r="AG34" t="str">
        <f ca="1" t="shared" si="19"/>
        <v/>
      </c>
      <c r="AH34" t="str">
        <f ca="1" t="shared" si="20"/>
        <v/>
      </c>
      <c r="AI34" t="str">
        <f ca="1">IF(OR(B34="",VLOOKUP(BH34,step02图片链接!B:E,4,0)=""),"",VLOOKUP(BH34,step02图片链接!B:E,4,0))</f>
        <v/>
      </c>
      <c r="AJ34" t="str">
        <f ca="1">IF(OR(B34="",VLOOKUP(BH34,step02图片链接!B:G,6,0)=""),"",VLOOKUP(BH34,step02图片链接!B:G,6,0))</f>
        <v/>
      </c>
      <c r="AK34" t="str">
        <f ca="1">IF(OR(B34="",VLOOKUP(BH34,step02图片链接!B:H,7,0)=""),"",VLOOKUP(BH34,step02图片链接!B:H,7,0))</f>
        <v/>
      </c>
      <c r="AL34" t="str">
        <f ca="1">IF(OR(B34="",VLOOKUP(BH34,step02图片链接!B:I,8,0)=""),"",VLOOKUP(BH34,step02图片链接!B:I,8,0))</f>
        <v/>
      </c>
      <c r="AM34" t="str">
        <f ca="1">IF(OR(B34="",VLOOKUP(BH34,step02图片链接!B:J,9,0)=""),"",VLOOKUP(BH34,step02图片链接!B:J,9,0))</f>
        <v/>
      </c>
      <c r="AN34" t="str">
        <f ca="1">IF(OR(B34="",VLOOKUP(BH34,step02图片链接!B:K,10,0)=""),"",VLOOKUP(BH34,step02图片链接!B:K,10,0))</f>
        <v/>
      </c>
      <c r="AO34" t="str">
        <f ca="1">IF(OR(B34="",VLOOKUP(BH34,step02图片链接!B:L,11,0)=""),"",VLOOKUP(BH34,step02图片链接!B:L,11,0))</f>
        <v/>
      </c>
      <c r="AP34" t="str">
        <f ca="1">IF(OR(B34="",VLOOKUP(BH34,step02图片链接!B:M,12,0)=""),"",VLOOKUP(BH34,step02图片链接!B:M,12,0))</f>
        <v/>
      </c>
      <c r="AQ34" t="str">
        <f ca="1">IF(OR(B34="",VLOOKUP(BH34,step02图片链接!B:N,13,0)=""),"",VLOOKUP(BH34,step02图片链接!B:N,13,0))</f>
        <v/>
      </c>
      <c r="AS34" t="str">
        <f ca="1" t="shared" si="21"/>
        <v/>
      </c>
      <c r="AT34" t="str">
        <f ca="1" t="shared" si="22"/>
        <v/>
      </c>
      <c r="AU34" t="str">
        <f ca="1" t="shared" si="6"/>
        <v/>
      </c>
      <c r="AV34" t="str">
        <f ca="1">IF(B34="","",step01标题尺码信息!$T$36)</f>
        <v/>
      </c>
      <c r="AZ34" t="str">
        <f ca="1">IF(B34="","",step01标题尺码信息!$S$41)</f>
        <v/>
      </c>
      <c r="BA34" t="str">
        <f ca="1">IF(B34="","",step01标题尺码信息!$S$43)</f>
        <v/>
      </c>
      <c r="BB34" t="str">
        <f ca="1">IF(B34="","",step01标题尺码信息!$S$45)</f>
        <v/>
      </c>
      <c r="BC34" t="str">
        <f ca="1">IF(B34="","",step01标题尺码信息!$S$47)</f>
        <v/>
      </c>
      <c r="BD34" t="str">
        <f ca="1">IF(B34="","",step01标题尺码信息!$S$49)</f>
        <v/>
      </c>
      <c r="BE34" t="str">
        <f ca="1">IF(B34="","",step01标题尺码信息!$S$53)</f>
        <v/>
      </c>
      <c r="BH34" t="str">
        <f ca="1">IF(B34="","",IF(DX34="Parent","",VLOOKUP(B34,step01标题尺码信息!G:P,7,0)))</f>
        <v/>
      </c>
      <c r="BI34" t="str">
        <f ca="1">IF(B34="","",IF(DX34="Parent","",VLOOKUP(B34,step01标题尺码信息!G:P,8,0)))</f>
        <v/>
      </c>
      <c r="BK34" t="str">
        <f ca="1" t="shared" si="7"/>
        <v/>
      </c>
      <c r="BL34" t="str">
        <f ca="1" t="shared" si="8"/>
        <v/>
      </c>
      <c r="BO34" t="str">
        <f ca="1" t="shared" si="9"/>
        <v/>
      </c>
      <c r="BR34" t="str">
        <f ca="1">IF(B34="","",IF(AS34="Parent","",VLOOKUP(B34,step01标题尺码信息!G:P,9,0)))</f>
        <v/>
      </c>
      <c r="CY34" t="str">
        <f ca="1" t="shared" si="10"/>
        <v/>
      </c>
      <c r="DG34" t="str">
        <f ca="1">IF(B34="","",step01标题尺码信息!$T$30)</f>
        <v/>
      </c>
      <c r="DH34" t="str">
        <f ca="1" t="shared" si="11"/>
        <v/>
      </c>
      <c r="DN34" t="str">
        <f ca="1" t="shared" si="12"/>
        <v/>
      </c>
      <c r="DW34" t="str">
        <f ca="1" t="shared" si="13"/>
        <v/>
      </c>
      <c r="ER34" t="str">
        <f ca="1">IF(B34="","",step01标题尺码信息!$T$37)</f>
        <v/>
      </c>
      <c r="ES34" t="str">
        <f ca="1" t="shared" si="14"/>
        <v/>
      </c>
      <c r="HF34" t="str">
        <f ca="1">IF(B34="","",step01标题尺码信息!$S$2)</f>
        <v/>
      </c>
      <c r="HH34" t="str">
        <f ca="1" t="shared" si="15"/>
        <v/>
      </c>
      <c r="HI34" t="str">
        <f ca="1" t="shared" si="16"/>
        <v/>
      </c>
      <c r="HL34" t="str">
        <f ca="1" t="shared" si="17"/>
        <v/>
      </c>
      <c r="IA34" t="str">
        <f ca="1" t="shared" si="18"/>
        <v/>
      </c>
    </row>
    <row r="35" spans="1:235">
      <c r="A35" t="str">
        <f ca="1">IF(B35="","",step01标题尺码信息!$B$3)</f>
        <v/>
      </c>
      <c r="B35" t="str">
        <f ca="1">IF(step01标题尺码信息!G37="","",step01标题尺码信息!G37)</f>
        <v/>
      </c>
      <c r="C35" t="str">
        <f ca="1">IF(B35="","",step01标题尺码信息!$E$3)</f>
        <v/>
      </c>
      <c r="D35" t="str">
        <f ca="1" t="shared" si="0"/>
        <v/>
      </c>
      <c r="E35" t="str">
        <f ca="1">IF(B35="","",VLOOKUP(B35,step01标题尺码信息!G:P,4,0))</f>
        <v/>
      </c>
      <c r="H35" t="str">
        <f ca="1">IF(B35="","",step01标题尺码信息!$R$19)</f>
        <v/>
      </c>
      <c r="I35" t="str">
        <f ca="1" t="shared" si="1"/>
        <v/>
      </c>
      <c r="M35" t="str">
        <f ca="1" t="shared" si="2"/>
        <v/>
      </c>
      <c r="U35" t="str">
        <f ca="1">IF(B35="","",step01标题尺码信息!$S$1)</f>
        <v/>
      </c>
      <c r="V35" t="str">
        <f ca="1" t="shared" si="3"/>
        <v/>
      </c>
      <c r="W35" t="str">
        <f ca="1">IF(B35="","",step01标题尺码信息!$V$1)</f>
        <v/>
      </c>
      <c r="X35" t="str">
        <f ca="1">IF(B35="","",step01标题尺码信息!$V$2)</f>
        <v/>
      </c>
      <c r="Y35" t="str">
        <f ca="1" t="shared" si="4"/>
        <v/>
      </c>
      <c r="Z35" t="str">
        <f ca="1" t="shared" si="5"/>
        <v/>
      </c>
      <c r="AA35" t="str">
        <f ca="1">IF(B35="","",IF(CB35="Parent","",VLOOKUP(B35,step01标题尺码信息!G:P,9,0)))</f>
        <v/>
      </c>
      <c r="AG35" t="str">
        <f ca="1" t="shared" si="19"/>
        <v/>
      </c>
      <c r="AH35" t="str">
        <f ca="1" t="shared" si="20"/>
        <v/>
      </c>
      <c r="AI35" t="str">
        <f ca="1">IF(OR(B35="",VLOOKUP(BH35,step02图片链接!B:E,4,0)=""),"",VLOOKUP(BH35,step02图片链接!B:E,4,0))</f>
        <v/>
      </c>
      <c r="AJ35" t="str">
        <f ca="1">IF(OR(B35="",VLOOKUP(BH35,step02图片链接!B:G,6,0)=""),"",VLOOKUP(BH35,step02图片链接!B:G,6,0))</f>
        <v/>
      </c>
      <c r="AK35" t="str">
        <f ca="1">IF(OR(B35="",VLOOKUP(BH35,step02图片链接!B:H,7,0)=""),"",VLOOKUP(BH35,step02图片链接!B:H,7,0))</f>
        <v/>
      </c>
      <c r="AL35" t="str">
        <f ca="1">IF(OR(B35="",VLOOKUP(BH35,step02图片链接!B:I,8,0)=""),"",VLOOKUP(BH35,step02图片链接!B:I,8,0))</f>
        <v/>
      </c>
      <c r="AM35" t="str">
        <f ca="1">IF(OR(B35="",VLOOKUP(BH35,step02图片链接!B:J,9,0)=""),"",VLOOKUP(BH35,step02图片链接!B:J,9,0))</f>
        <v/>
      </c>
      <c r="AN35" t="str">
        <f ca="1">IF(OR(B35="",VLOOKUP(BH35,step02图片链接!B:K,10,0)=""),"",VLOOKUP(BH35,step02图片链接!B:K,10,0))</f>
        <v/>
      </c>
      <c r="AO35" t="str">
        <f ca="1">IF(OR(B35="",VLOOKUP(BH35,step02图片链接!B:L,11,0)=""),"",VLOOKUP(BH35,step02图片链接!B:L,11,0))</f>
        <v/>
      </c>
      <c r="AP35" t="str">
        <f ca="1">IF(OR(B35="",VLOOKUP(BH35,step02图片链接!B:M,12,0)=""),"",VLOOKUP(BH35,step02图片链接!B:M,12,0))</f>
        <v/>
      </c>
      <c r="AQ35" t="str">
        <f ca="1">IF(OR(B35="",VLOOKUP(BH35,step02图片链接!B:N,13,0)=""),"",VLOOKUP(BH35,step02图片链接!B:N,13,0))</f>
        <v/>
      </c>
      <c r="AS35" t="str">
        <f ca="1" t="shared" si="21"/>
        <v/>
      </c>
      <c r="AT35" t="str">
        <f ca="1" t="shared" si="22"/>
        <v/>
      </c>
      <c r="AU35" t="str">
        <f ca="1" t="shared" si="6"/>
        <v/>
      </c>
      <c r="AV35" t="str">
        <f ca="1">IF(B35="","",step01标题尺码信息!$T$36)</f>
        <v/>
      </c>
      <c r="AZ35" t="str">
        <f ca="1">IF(B35="","",step01标题尺码信息!$S$41)</f>
        <v/>
      </c>
      <c r="BA35" t="str">
        <f ca="1">IF(B35="","",step01标题尺码信息!$S$43)</f>
        <v/>
      </c>
      <c r="BB35" t="str">
        <f ca="1">IF(B35="","",step01标题尺码信息!$S$45)</f>
        <v/>
      </c>
      <c r="BC35" t="str">
        <f ca="1">IF(B35="","",step01标题尺码信息!$S$47)</f>
        <v/>
      </c>
      <c r="BD35" t="str">
        <f ca="1">IF(B35="","",step01标题尺码信息!$S$49)</f>
        <v/>
      </c>
      <c r="BE35" t="str">
        <f ca="1">IF(B35="","",step01标题尺码信息!$S$53)</f>
        <v/>
      </c>
      <c r="BH35" t="str">
        <f ca="1">IF(B35="","",IF(DX35="Parent","",VLOOKUP(B35,step01标题尺码信息!G:P,7,0)))</f>
        <v/>
      </c>
      <c r="BI35" t="str">
        <f ca="1">IF(B35="","",IF(DX35="Parent","",VLOOKUP(B35,step01标题尺码信息!G:P,8,0)))</f>
        <v/>
      </c>
      <c r="BK35" t="str">
        <f ca="1" t="shared" si="7"/>
        <v/>
      </c>
      <c r="BL35" t="str">
        <f ca="1" t="shared" si="8"/>
        <v/>
      </c>
      <c r="BO35" t="str">
        <f ca="1" t="shared" si="9"/>
        <v/>
      </c>
      <c r="BR35" t="str">
        <f ca="1">IF(B35="","",IF(AS35="Parent","",VLOOKUP(B35,step01标题尺码信息!G:P,9,0)))</f>
        <v/>
      </c>
      <c r="CY35" t="str">
        <f ca="1" t="shared" si="10"/>
        <v/>
      </c>
      <c r="DG35" t="str">
        <f ca="1">IF(B35="","",step01标题尺码信息!$T$30)</f>
        <v/>
      </c>
      <c r="DH35" t="str">
        <f ca="1" t="shared" si="11"/>
        <v/>
      </c>
      <c r="DN35" t="str">
        <f ca="1" t="shared" si="12"/>
        <v/>
      </c>
      <c r="DW35" t="str">
        <f ca="1" t="shared" si="13"/>
        <v/>
      </c>
      <c r="ER35" t="str">
        <f ca="1">IF(B35="","",step01标题尺码信息!$T$37)</f>
        <v/>
      </c>
      <c r="ES35" t="str">
        <f ca="1" t="shared" si="14"/>
        <v/>
      </c>
      <c r="HF35" t="str">
        <f ca="1">IF(B35="","",step01标题尺码信息!$S$2)</f>
        <v/>
      </c>
      <c r="HH35" t="str">
        <f ca="1" t="shared" si="15"/>
        <v/>
      </c>
      <c r="HI35" t="str">
        <f ca="1" t="shared" si="16"/>
        <v/>
      </c>
      <c r="HL35" t="str">
        <f ca="1" t="shared" si="17"/>
        <v/>
      </c>
      <c r="IA35" t="str">
        <f ca="1" t="shared" si="18"/>
        <v/>
      </c>
    </row>
    <row r="36" spans="1:235">
      <c r="A36" t="str">
        <f ca="1">IF(B36="","",step01标题尺码信息!$B$3)</f>
        <v/>
      </c>
      <c r="B36" t="str">
        <f ca="1">IF(step01标题尺码信息!G38="","",step01标题尺码信息!G38)</f>
        <v/>
      </c>
      <c r="C36" t="str">
        <f ca="1">IF(B36="","",step01标题尺码信息!$E$3)</f>
        <v/>
      </c>
      <c r="D36" t="str">
        <f ca="1" t="shared" si="0"/>
        <v/>
      </c>
      <c r="E36" t="str">
        <f ca="1">IF(B36="","",VLOOKUP(B36,step01标题尺码信息!G:P,4,0))</f>
        <v/>
      </c>
      <c r="H36" t="str">
        <f ca="1">IF(B36="","",step01标题尺码信息!$R$19)</f>
        <v/>
      </c>
      <c r="I36" t="str">
        <f ca="1" t="shared" si="1"/>
        <v/>
      </c>
      <c r="M36" t="str">
        <f ca="1" t="shared" si="2"/>
        <v/>
      </c>
      <c r="U36" t="str">
        <f ca="1">IF(B36="","",step01标题尺码信息!$S$1)</f>
        <v/>
      </c>
      <c r="V36" t="str">
        <f ca="1" t="shared" si="3"/>
        <v/>
      </c>
      <c r="W36" t="str">
        <f ca="1">IF(B36="","",step01标题尺码信息!$V$1)</f>
        <v/>
      </c>
      <c r="X36" t="str">
        <f ca="1">IF(B36="","",step01标题尺码信息!$V$2)</f>
        <v/>
      </c>
      <c r="Y36" t="str">
        <f ca="1" t="shared" si="4"/>
        <v/>
      </c>
      <c r="Z36" t="str">
        <f ca="1" t="shared" si="5"/>
        <v/>
      </c>
      <c r="AA36" t="str">
        <f ca="1">IF(B36="","",IF(CB36="Parent","",VLOOKUP(B36,step01标题尺码信息!G:P,9,0)))</f>
        <v/>
      </c>
      <c r="AG36" t="str">
        <f ca="1" t="shared" si="19"/>
        <v/>
      </c>
      <c r="AH36" t="str">
        <f ca="1" t="shared" si="20"/>
        <v/>
      </c>
      <c r="AI36" t="str">
        <f ca="1">IF(OR(B36="",VLOOKUP(BH36,step02图片链接!B:E,4,0)=""),"",VLOOKUP(BH36,step02图片链接!B:E,4,0))</f>
        <v/>
      </c>
      <c r="AJ36" t="str">
        <f ca="1">IF(OR(B36="",VLOOKUP(BH36,step02图片链接!B:G,6,0)=""),"",VLOOKUP(BH36,step02图片链接!B:G,6,0))</f>
        <v/>
      </c>
      <c r="AK36" t="str">
        <f ca="1">IF(OR(B36="",VLOOKUP(BH36,step02图片链接!B:H,7,0)=""),"",VLOOKUP(BH36,step02图片链接!B:H,7,0))</f>
        <v/>
      </c>
      <c r="AL36" t="str">
        <f ca="1">IF(OR(B36="",VLOOKUP(BH36,step02图片链接!B:I,8,0)=""),"",VLOOKUP(BH36,step02图片链接!B:I,8,0))</f>
        <v/>
      </c>
      <c r="AM36" t="str">
        <f ca="1">IF(OR(B36="",VLOOKUP(BH36,step02图片链接!B:J,9,0)=""),"",VLOOKUP(BH36,step02图片链接!B:J,9,0))</f>
        <v/>
      </c>
      <c r="AN36" t="str">
        <f ca="1">IF(OR(B36="",VLOOKUP(BH36,step02图片链接!B:K,10,0)=""),"",VLOOKUP(BH36,step02图片链接!B:K,10,0))</f>
        <v/>
      </c>
      <c r="AO36" t="str">
        <f ca="1">IF(OR(B36="",VLOOKUP(BH36,step02图片链接!B:L,11,0)=""),"",VLOOKUP(BH36,step02图片链接!B:L,11,0))</f>
        <v/>
      </c>
      <c r="AP36" t="str">
        <f ca="1">IF(OR(B36="",VLOOKUP(BH36,step02图片链接!B:M,12,0)=""),"",VLOOKUP(BH36,step02图片链接!B:M,12,0))</f>
        <v/>
      </c>
      <c r="AQ36" t="str">
        <f ca="1">IF(OR(B36="",VLOOKUP(BH36,step02图片链接!B:N,13,0)=""),"",VLOOKUP(BH36,step02图片链接!B:N,13,0))</f>
        <v/>
      </c>
      <c r="AS36" t="str">
        <f ca="1" t="shared" si="21"/>
        <v/>
      </c>
      <c r="AT36" t="str">
        <f ca="1" t="shared" si="22"/>
        <v/>
      </c>
      <c r="AU36" t="str">
        <f ca="1" t="shared" si="6"/>
        <v/>
      </c>
      <c r="AV36" t="str">
        <f ca="1">IF(B36="","",step01标题尺码信息!$T$36)</f>
        <v/>
      </c>
      <c r="AZ36" t="str">
        <f ca="1">IF(B36="","",step01标题尺码信息!$S$41)</f>
        <v/>
      </c>
      <c r="BA36" t="str">
        <f ca="1">IF(B36="","",step01标题尺码信息!$S$43)</f>
        <v/>
      </c>
      <c r="BB36" t="str">
        <f ca="1">IF(B36="","",step01标题尺码信息!$S$45)</f>
        <v/>
      </c>
      <c r="BC36" t="str">
        <f ca="1">IF(B36="","",step01标题尺码信息!$S$47)</f>
        <v/>
      </c>
      <c r="BD36" t="str">
        <f ca="1">IF(B36="","",step01标题尺码信息!$S$49)</f>
        <v/>
      </c>
      <c r="BE36" t="str">
        <f ca="1">IF(B36="","",step01标题尺码信息!$S$53)</f>
        <v/>
      </c>
      <c r="BH36" t="str">
        <f ca="1">IF(B36="","",IF(DX36="Parent","",VLOOKUP(B36,step01标题尺码信息!G:P,7,0)))</f>
        <v/>
      </c>
      <c r="BI36" t="str">
        <f ca="1">IF(B36="","",IF(DX36="Parent","",VLOOKUP(B36,step01标题尺码信息!G:P,8,0)))</f>
        <v/>
      </c>
      <c r="BK36" t="str">
        <f ca="1" t="shared" si="7"/>
        <v/>
      </c>
      <c r="BL36" t="str">
        <f ca="1" t="shared" si="8"/>
        <v/>
      </c>
      <c r="BO36" t="str">
        <f ca="1" t="shared" si="9"/>
        <v/>
      </c>
      <c r="BR36" t="str">
        <f ca="1">IF(B36="","",IF(AS36="Parent","",VLOOKUP(B36,step01标题尺码信息!G:P,9,0)))</f>
        <v/>
      </c>
      <c r="CY36" t="str">
        <f ca="1" t="shared" si="10"/>
        <v/>
      </c>
      <c r="DG36" t="str">
        <f ca="1">IF(B36="","",step01标题尺码信息!$T$30)</f>
        <v/>
      </c>
      <c r="DH36" t="str">
        <f ca="1" t="shared" si="11"/>
        <v/>
      </c>
      <c r="DN36" t="str">
        <f ca="1" t="shared" si="12"/>
        <v/>
      </c>
      <c r="DW36" t="str">
        <f ca="1" t="shared" si="13"/>
        <v/>
      </c>
      <c r="ER36" t="str">
        <f ca="1">IF(B36="","",step01标题尺码信息!$T$37)</f>
        <v/>
      </c>
      <c r="ES36" t="str">
        <f ca="1" t="shared" si="14"/>
        <v/>
      </c>
      <c r="HF36" t="str">
        <f ca="1">IF(B36="","",step01标题尺码信息!$S$2)</f>
        <v/>
      </c>
      <c r="HH36" t="str">
        <f ca="1" t="shared" si="15"/>
        <v/>
      </c>
      <c r="HI36" t="str">
        <f ca="1" t="shared" si="16"/>
        <v/>
      </c>
      <c r="HL36" t="str">
        <f ca="1" t="shared" si="17"/>
        <v/>
      </c>
      <c r="IA36" t="str">
        <f ca="1" t="shared" si="18"/>
        <v/>
      </c>
    </row>
    <row r="37" spans="1:235">
      <c r="A37" t="str">
        <f ca="1">IF(B37="","",step01标题尺码信息!$B$3)</f>
        <v/>
      </c>
      <c r="B37" t="str">
        <f ca="1">IF(step01标题尺码信息!G39="","",step01标题尺码信息!G39)</f>
        <v/>
      </c>
      <c r="C37" t="str">
        <f ca="1">IF(B37="","",step01标题尺码信息!$E$3)</f>
        <v/>
      </c>
      <c r="D37" t="str">
        <f ca="1" t="shared" ref="D37:D68" si="23">IF(B37="","","Update")</f>
        <v/>
      </c>
      <c r="E37" t="str">
        <f ca="1">IF(B37="","",VLOOKUP(B37,step01标题尺码信息!G:P,4,0))</f>
        <v/>
      </c>
      <c r="H37" t="str">
        <f ca="1">IF(B37="","",step01标题尺码信息!$R$19)</f>
        <v/>
      </c>
      <c r="I37" t="str">
        <f ca="1" t="shared" ref="I37:I68" si="24">IF(B37="","","novelty-t-shirts")</f>
        <v/>
      </c>
      <c r="M37" t="str">
        <f ca="1" t="shared" ref="M37:M68" si="25">IF(B37="","","Synthetic")</f>
        <v/>
      </c>
      <c r="U37" t="str">
        <f ca="1">IF(B37="","",step01标题尺码信息!$S$1)</f>
        <v/>
      </c>
      <c r="V37" t="str">
        <f ca="1" t="shared" ref="V37:V68" si="26">IF(B37="","",1000)</f>
        <v/>
      </c>
      <c r="W37" t="str">
        <f ca="1">IF(B37="","",step01标题尺码信息!$V$1)</f>
        <v/>
      </c>
      <c r="X37" t="str">
        <f ca="1">IF(B37="","",step01标题尺码信息!$V$2)</f>
        <v/>
      </c>
      <c r="Y37" t="str">
        <f ca="1" t="shared" ref="Y37:Y68" si="27">IF(B37="","","US")</f>
        <v/>
      </c>
      <c r="Z37" t="str">
        <f ca="1" t="shared" ref="Z37:Z68" si="28">IF(B37="","","Alpha")</f>
        <v/>
      </c>
      <c r="AA37" t="str">
        <f ca="1">IF(B37="","",IF(CB37="Parent","",VLOOKUP(B37,step01标题尺码信息!G:P,9,0)))</f>
        <v/>
      </c>
      <c r="AG37" t="str">
        <f ca="1" t="shared" si="19"/>
        <v/>
      </c>
      <c r="AH37" t="str">
        <f ca="1" t="shared" si="20"/>
        <v/>
      </c>
      <c r="AI37" t="str">
        <f ca="1">IF(OR(B37="",VLOOKUP(BH37,step02图片链接!B:E,4,0)=""),"",VLOOKUP(BH37,step02图片链接!B:E,4,0))</f>
        <v/>
      </c>
      <c r="AJ37" t="str">
        <f ca="1">IF(OR(B37="",VLOOKUP(BH37,step02图片链接!B:G,6,0)=""),"",VLOOKUP(BH37,step02图片链接!B:G,6,0))</f>
        <v/>
      </c>
      <c r="AK37" t="str">
        <f ca="1">IF(OR(B37="",VLOOKUP(BH37,step02图片链接!B:H,7,0)=""),"",VLOOKUP(BH37,step02图片链接!B:H,7,0))</f>
        <v/>
      </c>
      <c r="AL37" t="str">
        <f ca="1">IF(OR(B37="",VLOOKUP(BH37,step02图片链接!B:I,8,0)=""),"",VLOOKUP(BH37,step02图片链接!B:I,8,0))</f>
        <v/>
      </c>
      <c r="AM37" t="str">
        <f ca="1">IF(OR(B37="",VLOOKUP(BH37,step02图片链接!B:J,9,0)=""),"",VLOOKUP(BH37,step02图片链接!B:J,9,0))</f>
        <v/>
      </c>
      <c r="AN37" t="str">
        <f ca="1">IF(OR(B37="",VLOOKUP(BH37,step02图片链接!B:K,10,0)=""),"",VLOOKUP(BH37,step02图片链接!B:K,10,0))</f>
        <v/>
      </c>
      <c r="AO37" t="str">
        <f ca="1">IF(OR(B37="",VLOOKUP(BH37,step02图片链接!B:L,11,0)=""),"",VLOOKUP(BH37,step02图片链接!B:L,11,0))</f>
        <v/>
      </c>
      <c r="AP37" t="str">
        <f ca="1">IF(OR(B37="",VLOOKUP(BH37,step02图片链接!B:M,12,0)=""),"",VLOOKUP(BH37,step02图片链接!B:M,12,0))</f>
        <v/>
      </c>
      <c r="AQ37" t="str">
        <f ca="1">IF(OR(B37="",VLOOKUP(BH37,step02图片链接!B:N,13,0)=""),"",VLOOKUP(BH37,step02图片链接!B:N,13,0))</f>
        <v/>
      </c>
      <c r="AS37" t="str">
        <f ca="1" t="shared" si="21"/>
        <v/>
      </c>
      <c r="AT37" t="str">
        <f ca="1" t="shared" si="22"/>
        <v/>
      </c>
      <c r="AU37" t="str">
        <f ca="1" t="shared" ref="AU37:AU68" si="29">IF(AT37="","","Variation")</f>
        <v/>
      </c>
      <c r="AV37" t="str">
        <f ca="1">IF(B37="","",step01标题尺码信息!$T$36)</f>
        <v/>
      </c>
      <c r="AZ37" t="str">
        <f ca="1">IF(B37="","",step01标题尺码信息!$S$41)</f>
        <v/>
      </c>
      <c r="BA37" t="str">
        <f ca="1">IF(B37="","",step01标题尺码信息!$S$43)</f>
        <v/>
      </c>
      <c r="BB37" t="str">
        <f ca="1">IF(B37="","",step01标题尺码信息!$S$45)</f>
        <v/>
      </c>
      <c r="BC37" t="str">
        <f ca="1">IF(B37="","",step01标题尺码信息!$S$47)</f>
        <v/>
      </c>
      <c r="BD37" t="str">
        <f ca="1">IF(B37="","",step01标题尺码信息!$S$49)</f>
        <v/>
      </c>
      <c r="BE37" t="str">
        <f ca="1">IF(B37="","",step01标题尺码信息!$S$53)</f>
        <v/>
      </c>
      <c r="BH37" t="str">
        <f ca="1">IF(B37="","",IF(DX37="Parent","",VLOOKUP(B37,step01标题尺码信息!G:P,7,0)))</f>
        <v/>
      </c>
      <c r="BI37" t="str">
        <f ca="1">IF(B37="","",IF(DX37="Parent","",VLOOKUP(B37,step01标题尺码信息!G:P,8,0)))</f>
        <v/>
      </c>
      <c r="BK37" t="str">
        <f ca="1" t="shared" ref="BK37:BK68" si="30">IF(B37="","","Unisex Adult")</f>
        <v/>
      </c>
      <c r="BL37" t="str">
        <f ca="1" t="shared" ref="BL37:BL68" si="31">IF(B37="","","Regular")</f>
        <v/>
      </c>
      <c r="BO37" t="str">
        <f ca="1" t="shared" ref="BO37:BO68" si="32">IF(B37="","","Crewneck")</f>
        <v/>
      </c>
      <c r="BR37" t="str">
        <f ca="1">IF(B37="","",IF(AS37="Parent","",VLOOKUP(B37,step01标题尺码信息!G:P,9,0)))</f>
        <v/>
      </c>
      <c r="CY37" t="str">
        <f ca="1" t="shared" ref="CY37:CY68" si="33">IF(B37="","","Short Sleeve")</f>
        <v/>
      </c>
      <c r="DG37" t="str">
        <f ca="1">IF(B37="","",step01标题尺码信息!$T$30)</f>
        <v/>
      </c>
      <c r="DH37" t="str">
        <f ca="1" t="shared" ref="DH37:DH68" si="34">IF(B37="","","KG")</f>
        <v/>
      </c>
      <c r="DN37" t="str">
        <f ca="1" t="shared" ref="DN37:DN68" si="35">BR37</f>
        <v/>
      </c>
      <c r="DW37" t="str">
        <f ca="1" t="shared" ref="DW37:DW68" si="36">IF(B37="","","DEFAULT")</f>
        <v/>
      </c>
      <c r="ER37" t="str">
        <f ca="1">IF(B37="","",step01标题尺码信息!$T$37)</f>
        <v/>
      </c>
      <c r="ES37" t="str">
        <f ca="1" t="shared" ref="ES37:ES68" si="37">IF(B37="","","Imported")</f>
        <v/>
      </c>
      <c r="HF37" t="str">
        <f ca="1">IF(B37="","",step01标题尺码信息!$S$2)</f>
        <v/>
      </c>
      <c r="HH37" t="str">
        <f ca="1" t="shared" ref="HH37:HH68" si="38">IF(B37="","","USD")</f>
        <v/>
      </c>
      <c r="HI37" t="str">
        <f ca="1" t="shared" ref="HI37:HI68" si="39">IF(B37="","","NEW")</f>
        <v/>
      </c>
      <c r="HL37" t="str">
        <f ca="1" t="shared" ref="HL37:HL68" si="40">IF(B37="","","10")</f>
        <v/>
      </c>
      <c r="IA37" t="str">
        <f ca="1" t="shared" ref="IA37:IA68" si="41">IF(B37="","","Migrated Template")</f>
        <v/>
      </c>
    </row>
    <row r="38" spans="1:235">
      <c r="A38" t="str">
        <f ca="1">IF(B38="","",step01标题尺码信息!$B$3)</f>
        <v/>
      </c>
      <c r="B38" t="str">
        <f ca="1">IF(step01标题尺码信息!G40="","",step01标题尺码信息!G40)</f>
        <v/>
      </c>
      <c r="C38" t="str">
        <f ca="1">IF(B38="","",step01标题尺码信息!$E$3)</f>
        <v/>
      </c>
      <c r="D38" t="str">
        <f ca="1" t="shared" si="23"/>
        <v/>
      </c>
      <c r="E38" t="str">
        <f ca="1">IF(B38="","",VLOOKUP(B38,step01标题尺码信息!G:P,4,0))</f>
        <v/>
      </c>
      <c r="H38" t="str">
        <f ca="1">IF(B38="","",step01标题尺码信息!$R$19)</f>
        <v/>
      </c>
      <c r="I38" t="str">
        <f ca="1" t="shared" si="24"/>
        <v/>
      </c>
      <c r="M38" t="str">
        <f ca="1" t="shared" si="25"/>
        <v/>
      </c>
      <c r="U38" t="str">
        <f ca="1">IF(B38="","",step01标题尺码信息!$S$1)</f>
        <v/>
      </c>
      <c r="V38" t="str">
        <f ca="1" t="shared" si="26"/>
        <v/>
      </c>
      <c r="W38" t="str">
        <f ca="1">IF(B38="","",step01标题尺码信息!$V$1)</f>
        <v/>
      </c>
      <c r="X38" t="str">
        <f ca="1">IF(B38="","",step01标题尺码信息!$V$2)</f>
        <v/>
      </c>
      <c r="Y38" t="str">
        <f ca="1" t="shared" si="27"/>
        <v/>
      </c>
      <c r="Z38" t="str">
        <f ca="1" t="shared" si="28"/>
        <v/>
      </c>
      <c r="AA38" t="str">
        <f ca="1">IF(B38="","",IF(CB38="Parent","",VLOOKUP(B38,step01标题尺码信息!G:P,9,0)))</f>
        <v/>
      </c>
      <c r="AG38" t="str">
        <f ca="1" t="shared" ref="AG38:AG69" si="42">IF(B38="","","Regular")</f>
        <v/>
      </c>
      <c r="AH38" t="str">
        <f ca="1" t="shared" ref="AH38:AH69" si="43">IF(B38="","","Regular")</f>
        <v/>
      </c>
      <c r="AI38" t="str">
        <f ca="1">IF(OR(B38="",VLOOKUP(BH38,step02图片链接!B:E,4,0)=""),"",VLOOKUP(BH38,step02图片链接!B:E,4,0))</f>
        <v/>
      </c>
      <c r="AJ38" t="str">
        <f ca="1">IF(OR(B38="",VLOOKUP(BH38,step02图片链接!B:G,6,0)=""),"",VLOOKUP(BH38,step02图片链接!B:G,6,0))</f>
        <v/>
      </c>
      <c r="AK38" t="str">
        <f ca="1">IF(OR(B38="",VLOOKUP(BH38,step02图片链接!B:H,7,0)=""),"",VLOOKUP(BH38,step02图片链接!B:H,7,0))</f>
        <v/>
      </c>
      <c r="AL38" t="str">
        <f ca="1">IF(OR(B38="",VLOOKUP(BH38,step02图片链接!B:I,8,0)=""),"",VLOOKUP(BH38,step02图片链接!B:I,8,0))</f>
        <v/>
      </c>
      <c r="AM38" t="str">
        <f ca="1">IF(OR(B38="",VLOOKUP(BH38,step02图片链接!B:J,9,0)=""),"",VLOOKUP(BH38,step02图片链接!B:J,9,0))</f>
        <v/>
      </c>
      <c r="AN38" t="str">
        <f ca="1">IF(OR(B38="",VLOOKUP(BH38,step02图片链接!B:K,10,0)=""),"",VLOOKUP(BH38,step02图片链接!B:K,10,0))</f>
        <v/>
      </c>
      <c r="AO38" t="str">
        <f ca="1">IF(OR(B38="",VLOOKUP(BH38,step02图片链接!B:L,11,0)=""),"",VLOOKUP(BH38,step02图片链接!B:L,11,0))</f>
        <v/>
      </c>
      <c r="AP38" t="str">
        <f ca="1">IF(OR(B38="",VLOOKUP(BH38,step02图片链接!B:M,12,0)=""),"",VLOOKUP(BH38,step02图片链接!B:M,12,0))</f>
        <v/>
      </c>
      <c r="AQ38" t="str">
        <f ca="1">IF(OR(B38="",VLOOKUP(BH38,step02图片链接!B:N,13,0)=""),"",VLOOKUP(BH38,step02图片链接!B:N,13,0))</f>
        <v/>
      </c>
      <c r="AS38" t="str">
        <f ca="1" t="shared" ref="AS38:AS69" si="44">IF(AT38="","","Child")</f>
        <v/>
      </c>
      <c r="AT38" t="str">
        <f ca="1" t="shared" ref="AT38:AT69" si="45">IF(B38="","",$B$4)</f>
        <v/>
      </c>
      <c r="AU38" t="str">
        <f ca="1" t="shared" si="29"/>
        <v/>
      </c>
      <c r="AV38" t="str">
        <f ca="1">IF(B38="","",step01标题尺码信息!$T$36)</f>
        <v/>
      </c>
      <c r="AZ38" t="str">
        <f ca="1">IF(B38="","",step01标题尺码信息!$S$41)</f>
        <v/>
      </c>
      <c r="BA38" t="str">
        <f ca="1">IF(B38="","",step01标题尺码信息!$S$43)</f>
        <v/>
      </c>
      <c r="BB38" t="str">
        <f ca="1">IF(B38="","",step01标题尺码信息!$S$45)</f>
        <v/>
      </c>
      <c r="BC38" t="str">
        <f ca="1">IF(B38="","",step01标题尺码信息!$S$47)</f>
        <v/>
      </c>
      <c r="BD38" t="str">
        <f ca="1">IF(B38="","",step01标题尺码信息!$S$49)</f>
        <v/>
      </c>
      <c r="BE38" t="str">
        <f ca="1">IF(B38="","",step01标题尺码信息!$S$53)</f>
        <v/>
      </c>
      <c r="BH38" t="str">
        <f ca="1">IF(B38="","",IF(DX38="Parent","",VLOOKUP(B38,step01标题尺码信息!G:P,7,0)))</f>
        <v/>
      </c>
      <c r="BI38" t="str">
        <f ca="1">IF(B38="","",IF(DX38="Parent","",VLOOKUP(B38,step01标题尺码信息!G:P,8,0)))</f>
        <v/>
      </c>
      <c r="BK38" t="str">
        <f ca="1" t="shared" si="30"/>
        <v/>
      </c>
      <c r="BL38" t="str">
        <f ca="1" t="shared" si="31"/>
        <v/>
      </c>
      <c r="BO38" t="str">
        <f ca="1" t="shared" si="32"/>
        <v/>
      </c>
      <c r="BR38" t="str">
        <f ca="1">IF(B38="","",IF(AS38="Parent","",VLOOKUP(B38,step01标题尺码信息!G:P,9,0)))</f>
        <v/>
      </c>
      <c r="CY38" t="str">
        <f ca="1" t="shared" si="33"/>
        <v/>
      </c>
      <c r="DG38" t="str">
        <f ca="1">IF(B38="","",step01标题尺码信息!$T$30)</f>
        <v/>
      </c>
      <c r="DH38" t="str">
        <f ca="1" t="shared" si="34"/>
        <v/>
      </c>
      <c r="DN38" t="str">
        <f ca="1" t="shared" si="35"/>
        <v/>
      </c>
      <c r="DW38" t="str">
        <f ca="1" t="shared" si="36"/>
        <v/>
      </c>
      <c r="ER38" t="str">
        <f ca="1">IF(B38="","",step01标题尺码信息!$T$37)</f>
        <v/>
      </c>
      <c r="ES38" t="str">
        <f ca="1" t="shared" si="37"/>
        <v/>
      </c>
      <c r="HF38" t="str">
        <f ca="1">IF(B38="","",step01标题尺码信息!$S$2)</f>
        <v/>
      </c>
      <c r="HH38" t="str">
        <f ca="1" t="shared" si="38"/>
        <v/>
      </c>
      <c r="HI38" t="str">
        <f ca="1" t="shared" si="39"/>
        <v/>
      </c>
      <c r="HL38" t="str">
        <f ca="1" t="shared" si="40"/>
        <v/>
      </c>
      <c r="IA38" t="str">
        <f ca="1" t="shared" si="41"/>
        <v/>
      </c>
    </row>
    <row r="39" spans="1:235">
      <c r="A39" t="str">
        <f ca="1">IF(B39="","",step01标题尺码信息!$B$3)</f>
        <v/>
      </c>
      <c r="B39" t="str">
        <f ca="1">IF(step01标题尺码信息!G41="","",step01标题尺码信息!G41)</f>
        <v/>
      </c>
      <c r="C39" t="str">
        <f ca="1">IF(B39="","",step01标题尺码信息!$E$3)</f>
        <v/>
      </c>
      <c r="D39" t="str">
        <f ca="1" t="shared" si="23"/>
        <v/>
      </c>
      <c r="E39" t="str">
        <f ca="1">IF(B39="","",VLOOKUP(B39,step01标题尺码信息!G:P,4,0))</f>
        <v/>
      </c>
      <c r="H39" t="str">
        <f ca="1">IF(B39="","",step01标题尺码信息!$R$19)</f>
        <v/>
      </c>
      <c r="I39" t="str">
        <f ca="1" t="shared" si="24"/>
        <v/>
      </c>
      <c r="M39" t="str">
        <f ca="1" t="shared" si="25"/>
        <v/>
      </c>
      <c r="U39" t="str">
        <f ca="1">IF(B39="","",step01标题尺码信息!$S$1)</f>
        <v/>
      </c>
      <c r="V39" t="str">
        <f ca="1" t="shared" si="26"/>
        <v/>
      </c>
      <c r="W39" t="str">
        <f ca="1">IF(B39="","",step01标题尺码信息!$V$1)</f>
        <v/>
      </c>
      <c r="X39" t="str">
        <f ca="1">IF(B39="","",step01标题尺码信息!$V$2)</f>
        <v/>
      </c>
      <c r="Y39" t="str">
        <f ca="1" t="shared" si="27"/>
        <v/>
      </c>
      <c r="Z39" t="str">
        <f ca="1" t="shared" si="28"/>
        <v/>
      </c>
      <c r="AA39" t="str">
        <f ca="1">IF(B39="","",IF(CB39="Parent","",VLOOKUP(B39,step01标题尺码信息!G:P,9,0)))</f>
        <v/>
      </c>
      <c r="AG39" t="str">
        <f ca="1" t="shared" si="42"/>
        <v/>
      </c>
      <c r="AH39" t="str">
        <f ca="1" t="shared" si="43"/>
        <v/>
      </c>
      <c r="AI39" t="str">
        <f ca="1">IF(OR(B39="",VLOOKUP(BH39,step02图片链接!B:E,4,0)=""),"",VLOOKUP(BH39,step02图片链接!B:E,4,0))</f>
        <v/>
      </c>
      <c r="AJ39" t="str">
        <f ca="1">IF(OR(B39="",VLOOKUP(BH39,step02图片链接!B:G,6,0)=""),"",VLOOKUP(BH39,step02图片链接!B:G,6,0))</f>
        <v/>
      </c>
      <c r="AK39" t="str">
        <f ca="1">IF(OR(B39="",VLOOKUP(BH39,step02图片链接!B:H,7,0)=""),"",VLOOKUP(BH39,step02图片链接!B:H,7,0))</f>
        <v/>
      </c>
      <c r="AL39" t="str">
        <f ca="1">IF(OR(B39="",VLOOKUP(BH39,step02图片链接!B:I,8,0)=""),"",VLOOKUP(BH39,step02图片链接!B:I,8,0))</f>
        <v/>
      </c>
      <c r="AM39" t="str">
        <f ca="1">IF(OR(B39="",VLOOKUP(BH39,step02图片链接!B:J,9,0)=""),"",VLOOKUP(BH39,step02图片链接!B:J,9,0))</f>
        <v/>
      </c>
      <c r="AN39" t="str">
        <f ca="1">IF(OR(B39="",VLOOKUP(BH39,step02图片链接!B:K,10,0)=""),"",VLOOKUP(BH39,step02图片链接!B:K,10,0))</f>
        <v/>
      </c>
      <c r="AO39" t="str">
        <f ca="1">IF(OR(B39="",VLOOKUP(BH39,step02图片链接!B:L,11,0)=""),"",VLOOKUP(BH39,step02图片链接!B:L,11,0))</f>
        <v/>
      </c>
      <c r="AP39" t="str">
        <f ca="1">IF(OR(B39="",VLOOKUP(BH39,step02图片链接!B:M,12,0)=""),"",VLOOKUP(BH39,step02图片链接!B:M,12,0))</f>
        <v/>
      </c>
      <c r="AQ39" t="str">
        <f ca="1">IF(OR(B39="",VLOOKUP(BH39,step02图片链接!B:N,13,0)=""),"",VLOOKUP(BH39,step02图片链接!B:N,13,0))</f>
        <v/>
      </c>
      <c r="AS39" t="str">
        <f ca="1" t="shared" si="44"/>
        <v/>
      </c>
      <c r="AT39" t="str">
        <f ca="1" t="shared" si="45"/>
        <v/>
      </c>
      <c r="AU39" t="str">
        <f ca="1" t="shared" si="29"/>
        <v/>
      </c>
      <c r="AV39" t="str">
        <f ca="1">IF(B39="","",step01标题尺码信息!$T$36)</f>
        <v/>
      </c>
      <c r="AZ39" t="str">
        <f ca="1">IF(B39="","",step01标题尺码信息!$S$41)</f>
        <v/>
      </c>
      <c r="BA39" t="str">
        <f ca="1">IF(B39="","",step01标题尺码信息!$S$43)</f>
        <v/>
      </c>
      <c r="BB39" t="str">
        <f ca="1">IF(B39="","",step01标题尺码信息!$S$45)</f>
        <v/>
      </c>
      <c r="BC39" t="str">
        <f ca="1">IF(B39="","",step01标题尺码信息!$S$47)</f>
        <v/>
      </c>
      <c r="BD39" t="str">
        <f ca="1">IF(B39="","",step01标题尺码信息!$S$49)</f>
        <v/>
      </c>
      <c r="BE39" t="str">
        <f ca="1">IF(B39="","",step01标题尺码信息!$S$53)</f>
        <v/>
      </c>
      <c r="BH39" t="str">
        <f ca="1">IF(B39="","",IF(DX39="Parent","",VLOOKUP(B39,step01标题尺码信息!G:P,7,0)))</f>
        <v/>
      </c>
      <c r="BI39" t="str">
        <f ca="1">IF(B39="","",IF(DX39="Parent","",VLOOKUP(B39,step01标题尺码信息!G:P,8,0)))</f>
        <v/>
      </c>
      <c r="BK39" t="str">
        <f ca="1" t="shared" si="30"/>
        <v/>
      </c>
      <c r="BL39" t="str">
        <f ca="1" t="shared" si="31"/>
        <v/>
      </c>
      <c r="BO39" t="str">
        <f ca="1" t="shared" si="32"/>
        <v/>
      </c>
      <c r="BR39" t="str">
        <f ca="1">IF(B39="","",IF(AS39="Parent","",VLOOKUP(B39,step01标题尺码信息!G:P,9,0)))</f>
        <v/>
      </c>
      <c r="CY39" t="str">
        <f ca="1" t="shared" si="33"/>
        <v/>
      </c>
      <c r="DG39" t="str">
        <f ca="1">IF(B39="","",step01标题尺码信息!$T$30)</f>
        <v/>
      </c>
      <c r="DH39" t="str">
        <f ca="1" t="shared" si="34"/>
        <v/>
      </c>
      <c r="DN39" t="str">
        <f ca="1" t="shared" si="35"/>
        <v/>
      </c>
      <c r="DW39" t="str">
        <f ca="1" t="shared" si="36"/>
        <v/>
      </c>
      <c r="ER39" t="str">
        <f ca="1">IF(B39="","",step01标题尺码信息!$T$37)</f>
        <v/>
      </c>
      <c r="ES39" t="str">
        <f ca="1" t="shared" si="37"/>
        <v/>
      </c>
      <c r="HF39" t="str">
        <f ca="1">IF(B39="","",step01标题尺码信息!$S$2)</f>
        <v/>
      </c>
      <c r="HH39" t="str">
        <f ca="1" t="shared" si="38"/>
        <v/>
      </c>
      <c r="HI39" t="str">
        <f ca="1" t="shared" si="39"/>
        <v/>
      </c>
      <c r="HL39" t="str">
        <f ca="1" t="shared" si="40"/>
        <v/>
      </c>
      <c r="IA39" t="str">
        <f ca="1" t="shared" si="41"/>
        <v/>
      </c>
    </row>
    <row r="40" spans="1:235">
      <c r="A40" t="str">
        <f ca="1">IF(B40="","",step01标题尺码信息!$B$3)</f>
        <v/>
      </c>
      <c r="B40" t="str">
        <f ca="1">IF(step01标题尺码信息!G42="","",step01标题尺码信息!G42)</f>
        <v/>
      </c>
      <c r="C40" t="str">
        <f ca="1">IF(B40="","",step01标题尺码信息!$E$3)</f>
        <v/>
      </c>
      <c r="D40" t="str">
        <f ca="1" t="shared" si="23"/>
        <v/>
      </c>
      <c r="E40" t="str">
        <f ca="1">IF(B40="","",VLOOKUP(B40,step01标题尺码信息!G:P,4,0))</f>
        <v/>
      </c>
      <c r="H40" t="str">
        <f ca="1">IF(B40="","",step01标题尺码信息!$R$19)</f>
        <v/>
      </c>
      <c r="I40" t="str">
        <f ca="1" t="shared" si="24"/>
        <v/>
      </c>
      <c r="M40" t="str">
        <f ca="1" t="shared" si="25"/>
        <v/>
      </c>
      <c r="U40" t="str">
        <f ca="1">IF(B40="","",step01标题尺码信息!$S$1)</f>
        <v/>
      </c>
      <c r="V40" t="str">
        <f ca="1" t="shared" si="26"/>
        <v/>
      </c>
      <c r="W40" t="str">
        <f ca="1">IF(B40="","",step01标题尺码信息!$V$1)</f>
        <v/>
      </c>
      <c r="X40" t="str">
        <f ca="1">IF(B40="","",step01标题尺码信息!$V$2)</f>
        <v/>
      </c>
      <c r="Y40" t="str">
        <f ca="1" t="shared" si="27"/>
        <v/>
      </c>
      <c r="Z40" t="str">
        <f ca="1" t="shared" si="28"/>
        <v/>
      </c>
      <c r="AA40" t="str">
        <f ca="1">IF(B40="","",IF(CB40="Parent","",VLOOKUP(B40,step01标题尺码信息!G:P,9,0)))</f>
        <v/>
      </c>
      <c r="AG40" t="str">
        <f ca="1" t="shared" si="42"/>
        <v/>
      </c>
      <c r="AH40" t="str">
        <f ca="1" t="shared" si="43"/>
        <v/>
      </c>
      <c r="AI40" t="str">
        <f ca="1">IF(OR(B40="",VLOOKUP(BH40,step02图片链接!B:E,4,0)=""),"",VLOOKUP(BH40,step02图片链接!B:E,4,0))</f>
        <v/>
      </c>
      <c r="AJ40" t="str">
        <f ca="1">IF(OR(B40="",VLOOKUP(BH40,step02图片链接!B:G,6,0)=""),"",VLOOKUP(BH40,step02图片链接!B:G,6,0))</f>
        <v/>
      </c>
      <c r="AK40" t="str">
        <f ca="1">IF(OR(B40="",VLOOKUP(BH40,step02图片链接!B:H,7,0)=""),"",VLOOKUP(BH40,step02图片链接!B:H,7,0))</f>
        <v/>
      </c>
      <c r="AL40" t="str">
        <f ca="1">IF(OR(B40="",VLOOKUP(BH40,step02图片链接!B:I,8,0)=""),"",VLOOKUP(BH40,step02图片链接!B:I,8,0))</f>
        <v/>
      </c>
      <c r="AM40" t="str">
        <f ca="1">IF(OR(B40="",VLOOKUP(BH40,step02图片链接!B:J,9,0)=""),"",VLOOKUP(BH40,step02图片链接!B:J,9,0))</f>
        <v/>
      </c>
      <c r="AN40" t="str">
        <f ca="1">IF(OR(B40="",VLOOKUP(BH40,step02图片链接!B:K,10,0)=""),"",VLOOKUP(BH40,step02图片链接!B:K,10,0))</f>
        <v/>
      </c>
      <c r="AO40" t="str">
        <f ca="1">IF(OR(B40="",VLOOKUP(BH40,step02图片链接!B:L,11,0)=""),"",VLOOKUP(BH40,step02图片链接!B:L,11,0))</f>
        <v/>
      </c>
      <c r="AP40" t="str">
        <f ca="1">IF(OR(B40="",VLOOKUP(BH40,step02图片链接!B:M,12,0)=""),"",VLOOKUP(BH40,step02图片链接!B:M,12,0))</f>
        <v/>
      </c>
      <c r="AQ40" t="str">
        <f ca="1">IF(OR(B40="",VLOOKUP(BH40,step02图片链接!B:N,13,0)=""),"",VLOOKUP(BH40,step02图片链接!B:N,13,0))</f>
        <v/>
      </c>
      <c r="AS40" t="str">
        <f ca="1" t="shared" si="44"/>
        <v/>
      </c>
      <c r="AT40" t="str">
        <f ca="1" t="shared" si="45"/>
        <v/>
      </c>
      <c r="AU40" t="str">
        <f ca="1" t="shared" si="29"/>
        <v/>
      </c>
      <c r="AV40" t="str">
        <f ca="1">IF(B40="","",step01标题尺码信息!$T$36)</f>
        <v/>
      </c>
      <c r="AZ40" t="str">
        <f ca="1">IF(B40="","",step01标题尺码信息!$S$41)</f>
        <v/>
      </c>
      <c r="BA40" t="str">
        <f ca="1">IF(B40="","",step01标题尺码信息!$S$43)</f>
        <v/>
      </c>
      <c r="BB40" t="str">
        <f ca="1">IF(B40="","",step01标题尺码信息!$S$45)</f>
        <v/>
      </c>
      <c r="BC40" t="str">
        <f ca="1">IF(B40="","",step01标题尺码信息!$S$47)</f>
        <v/>
      </c>
      <c r="BD40" t="str">
        <f ca="1">IF(B40="","",step01标题尺码信息!$S$49)</f>
        <v/>
      </c>
      <c r="BE40" t="str">
        <f ca="1">IF(B40="","",step01标题尺码信息!$S$53)</f>
        <v/>
      </c>
      <c r="BH40" t="str">
        <f ca="1">IF(B40="","",IF(DX40="Parent","",VLOOKUP(B40,step01标题尺码信息!G:P,7,0)))</f>
        <v/>
      </c>
      <c r="BI40" t="str">
        <f ca="1">IF(B40="","",IF(DX40="Parent","",VLOOKUP(B40,step01标题尺码信息!G:P,8,0)))</f>
        <v/>
      </c>
      <c r="BK40" t="str">
        <f ca="1" t="shared" si="30"/>
        <v/>
      </c>
      <c r="BL40" t="str">
        <f ca="1" t="shared" si="31"/>
        <v/>
      </c>
      <c r="BO40" t="str">
        <f ca="1" t="shared" si="32"/>
        <v/>
      </c>
      <c r="BR40" t="str">
        <f ca="1">IF(B40="","",IF(AS40="Parent","",VLOOKUP(B40,step01标题尺码信息!G:P,9,0)))</f>
        <v/>
      </c>
      <c r="CY40" t="str">
        <f ca="1" t="shared" si="33"/>
        <v/>
      </c>
      <c r="DG40" t="str">
        <f ca="1">IF(B40="","",step01标题尺码信息!$T$30)</f>
        <v/>
      </c>
      <c r="DH40" t="str">
        <f ca="1" t="shared" si="34"/>
        <v/>
      </c>
      <c r="DN40" t="str">
        <f ca="1" t="shared" si="35"/>
        <v/>
      </c>
      <c r="DW40" t="str">
        <f ca="1" t="shared" si="36"/>
        <v/>
      </c>
      <c r="ER40" t="str">
        <f ca="1">IF(B40="","",step01标题尺码信息!$T$37)</f>
        <v/>
      </c>
      <c r="ES40" t="str">
        <f ca="1" t="shared" si="37"/>
        <v/>
      </c>
      <c r="HF40" t="str">
        <f ca="1">IF(B40="","",step01标题尺码信息!$S$2)</f>
        <v/>
      </c>
      <c r="HH40" t="str">
        <f ca="1" t="shared" si="38"/>
        <v/>
      </c>
      <c r="HI40" t="str">
        <f ca="1" t="shared" si="39"/>
        <v/>
      </c>
      <c r="HL40" t="str">
        <f ca="1" t="shared" si="40"/>
        <v/>
      </c>
      <c r="IA40" t="str">
        <f ca="1" t="shared" si="41"/>
        <v/>
      </c>
    </row>
    <row r="41" spans="1:235">
      <c r="A41" t="str">
        <f ca="1">IF(B41="","",step01标题尺码信息!$B$3)</f>
        <v/>
      </c>
      <c r="B41" t="str">
        <f ca="1">IF(step01标题尺码信息!G43="","",step01标题尺码信息!G43)</f>
        <v/>
      </c>
      <c r="C41" t="str">
        <f ca="1">IF(B41="","",step01标题尺码信息!$E$3)</f>
        <v/>
      </c>
      <c r="D41" t="str">
        <f ca="1" t="shared" si="23"/>
        <v/>
      </c>
      <c r="E41" t="str">
        <f ca="1">IF(B41="","",VLOOKUP(B41,step01标题尺码信息!G:P,4,0))</f>
        <v/>
      </c>
      <c r="H41" t="str">
        <f ca="1">IF(B41="","",step01标题尺码信息!$R$19)</f>
        <v/>
      </c>
      <c r="I41" t="str">
        <f ca="1" t="shared" si="24"/>
        <v/>
      </c>
      <c r="M41" t="str">
        <f ca="1" t="shared" si="25"/>
        <v/>
      </c>
      <c r="U41" t="str">
        <f ca="1">IF(B41="","",step01标题尺码信息!$S$1)</f>
        <v/>
      </c>
      <c r="V41" t="str">
        <f ca="1" t="shared" si="26"/>
        <v/>
      </c>
      <c r="W41" t="str">
        <f ca="1">IF(B41="","",step01标题尺码信息!$V$1)</f>
        <v/>
      </c>
      <c r="X41" t="str">
        <f ca="1">IF(B41="","",step01标题尺码信息!$V$2)</f>
        <v/>
      </c>
      <c r="Y41" t="str">
        <f ca="1" t="shared" si="27"/>
        <v/>
      </c>
      <c r="Z41" t="str">
        <f ca="1" t="shared" si="28"/>
        <v/>
      </c>
      <c r="AA41" t="str">
        <f ca="1">IF(B41="","",IF(CB41="Parent","",VLOOKUP(B41,step01标题尺码信息!G:P,9,0)))</f>
        <v/>
      </c>
      <c r="AG41" t="str">
        <f ca="1" t="shared" si="42"/>
        <v/>
      </c>
      <c r="AH41" t="str">
        <f ca="1" t="shared" si="43"/>
        <v/>
      </c>
      <c r="AI41" t="str">
        <f ca="1">IF(OR(B41="",VLOOKUP(BH41,step02图片链接!B:E,4,0)=""),"",VLOOKUP(BH41,step02图片链接!B:E,4,0))</f>
        <v/>
      </c>
      <c r="AJ41" t="str">
        <f ca="1">IF(OR(B41="",VLOOKUP(BH41,step02图片链接!B:G,6,0)=""),"",VLOOKUP(BH41,step02图片链接!B:G,6,0))</f>
        <v/>
      </c>
      <c r="AK41" t="str">
        <f ca="1">IF(OR(B41="",VLOOKUP(BH41,step02图片链接!B:H,7,0)=""),"",VLOOKUP(BH41,step02图片链接!B:H,7,0))</f>
        <v/>
      </c>
      <c r="AL41" t="str">
        <f ca="1">IF(OR(B41="",VLOOKUP(BH41,step02图片链接!B:I,8,0)=""),"",VLOOKUP(BH41,step02图片链接!B:I,8,0))</f>
        <v/>
      </c>
      <c r="AM41" t="str">
        <f ca="1">IF(OR(B41="",VLOOKUP(BH41,step02图片链接!B:J,9,0)=""),"",VLOOKUP(BH41,step02图片链接!B:J,9,0))</f>
        <v/>
      </c>
      <c r="AN41" t="str">
        <f ca="1">IF(OR(B41="",VLOOKUP(BH41,step02图片链接!B:K,10,0)=""),"",VLOOKUP(BH41,step02图片链接!B:K,10,0))</f>
        <v/>
      </c>
      <c r="AO41" t="str">
        <f ca="1">IF(OR(B41="",VLOOKUP(BH41,step02图片链接!B:L,11,0)=""),"",VLOOKUP(BH41,step02图片链接!B:L,11,0))</f>
        <v/>
      </c>
      <c r="AP41" t="str">
        <f ca="1">IF(OR(B41="",VLOOKUP(BH41,step02图片链接!B:M,12,0)=""),"",VLOOKUP(BH41,step02图片链接!B:M,12,0))</f>
        <v/>
      </c>
      <c r="AQ41" t="str">
        <f ca="1">IF(OR(B41="",VLOOKUP(BH41,step02图片链接!B:N,13,0)=""),"",VLOOKUP(BH41,step02图片链接!B:N,13,0))</f>
        <v/>
      </c>
      <c r="AS41" t="str">
        <f ca="1" t="shared" si="44"/>
        <v/>
      </c>
      <c r="AT41" t="str">
        <f ca="1" t="shared" si="45"/>
        <v/>
      </c>
      <c r="AU41" t="str">
        <f ca="1" t="shared" si="29"/>
        <v/>
      </c>
      <c r="AV41" t="str">
        <f ca="1">IF(B41="","",step01标题尺码信息!$T$36)</f>
        <v/>
      </c>
      <c r="AZ41" t="str">
        <f ca="1">IF(B41="","",step01标题尺码信息!$S$41)</f>
        <v/>
      </c>
      <c r="BA41" t="str">
        <f ca="1">IF(B41="","",step01标题尺码信息!$S$43)</f>
        <v/>
      </c>
      <c r="BB41" t="str">
        <f ca="1">IF(B41="","",step01标题尺码信息!$S$45)</f>
        <v/>
      </c>
      <c r="BC41" t="str">
        <f ca="1">IF(B41="","",step01标题尺码信息!$S$47)</f>
        <v/>
      </c>
      <c r="BD41" t="str">
        <f ca="1">IF(B41="","",step01标题尺码信息!$S$49)</f>
        <v/>
      </c>
      <c r="BE41" t="str">
        <f ca="1">IF(B41="","",step01标题尺码信息!$S$53)</f>
        <v/>
      </c>
      <c r="BH41" t="str">
        <f ca="1">IF(B41="","",IF(DX41="Parent","",VLOOKUP(B41,step01标题尺码信息!G:P,7,0)))</f>
        <v/>
      </c>
      <c r="BI41" t="str">
        <f ca="1">IF(B41="","",IF(DX41="Parent","",VLOOKUP(B41,step01标题尺码信息!G:P,8,0)))</f>
        <v/>
      </c>
      <c r="BK41" t="str">
        <f ca="1" t="shared" si="30"/>
        <v/>
      </c>
      <c r="BL41" t="str">
        <f ca="1" t="shared" si="31"/>
        <v/>
      </c>
      <c r="BO41" t="str">
        <f ca="1" t="shared" si="32"/>
        <v/>
      </c>
      <c r="BR41" t="str">
        <f ca="1">IF(B41="","",IF(AS41="Parent","",VLOOKUP(B41,step01标题尺码信息!G:P,9,0)))</f>
        <v/>
      </c>
      <c r="CY41" t="str">
        <f ca="1" t="shared" si="33"/>
        <v/>
      </c>
      <c r="DG41" t="str">
        <f ca="1">IF(B41="","",step01标题尺码信息!$T$30)</f>
        <v/>
      </c>
      <c r="DH41" t="str">
        <f ca="1" t="shared" si="34"/>
        <v/>
      </c>
      <c r="DN41" t="str">
        <f ca="1" t="shared" si="35"/>
        <v/>
      </c>
      <c r="DW41" t="str">
        <f ca="1" t="shared" si="36"/>
        <v/>
      </c>
      <c r="ER41" t="str">
        <f ca="1">IF(B41="","",step01标题尺码信息!$T$37)</f>
        <v/>
      </c>
      <c r="ES41" t="str">
        <f ca="1" t="shared" si="37"/>
        <v/>
      </c>
      <c r="HF41" t="str">
        <f ca="1">IF(B41="","",step01标题尺码信息!$S$2)</f>
        <v/>
      </c>
      <c r="HH41" t="str">
        <f ca="1" t="shared" si="38"/>
        <v/>
      </c>
      <c r="HI41" t="str">
        <f ca="1" t="shared" si="39"/>
        <v/>
      </c>
      <c r="HL41" t="str">
        <f ca="1" t="shared" si="40"/>
        <v/>
      </c>
      <c r="IA41" t="str">
        <f ca="1" t="shared" si="41"/>
        <v/>
      </c>
    </row>
    <row r="42" spans="1:235">
      <c r="A42" t="str">
        <f ca="1">IF(B42="","",step01标题尺码信息!$B$3)</f>
        <v/>
      </c>
      <c r="B42" t="str">
        <f ca="1">IF(step01标题尺码信息!G44="","",step01标题尺码信息!G44)</f>
        <v/>
      </c>
      <c r="C42" t="str">
        <f ca="1">IF(B42="","",step01标题尺码信息!$E$3)</f>
        <v/>
      </c>
      <c r="D42" t="str">
        <f ca="1" t="shared" si="23"/>
        <v/>
      </c>
      <c r="E42" t="str">
        <f ca="1">IF(B42="","",VLOOKUP(B42,step01标题尺码信息!G:P,4,0))</f>
        <v/>
      </c>
      <c r="H42" t="str">
        <f ca="1">IF(B42="","",step01标题尺码信息!$R$19)</f>
        <v/>
      </c>
      <c r="I42" t="str">
        <f ca="1" t="shared" si="24"/>
        <v/>
      </c>
      <c r="M42" t="str">
        <f ca="1" t="shared" si="25"/>
        <v/>
      </c>
      <c r="U42" t="str">
        <f ca="1">IF(B42="","",step01标题尺码信息!$S$1)</f>
        <v/>
      </c>
      <c r="V42" t="str">
        <f ca="1" t="shared" si="26"/>
        <v/>
      </c>
      <c r="W42" t="str">
        <f ca="1">IF(B42="","",step01标题尺码信息!$V$1)</f>
        <v/>
      </c>
      <c r="X42" t="str">
        <f ca="1">IF(B42="","",step01标题尺码信息!$V$2)</f>
        <v/>
      </c>
      <c r="Y42" t="str">
        <f ca="1" t="shared" si="27"/>
        <v/>
      </c>
      <c r="Z42" t="str">
        <f ca="1" t="shared" si="28"/>
        <v/>
      </c>
      <c r="AA42" t="str">
        <f ca="1">IF(B42="","",IF(CB42="Parent","",VLOOKUP(B42,step01标题尺码信息!G:P,9,0)))</f>
        <v/>
      </c>
      <c r="AG42" t="str">
        <f ca="1" t="shared" si="42"/>
        <v/>
      </c>
      <c r="AH42" t="str">
        <f ca="1" t="shared" si="43"/>
        <v/>
      </c>
      <c r="AI42" t="str">
        <f ca="1">IF(OR(B42="",VLOOKUP(BH42,step02图片链接!B:E,4,0)=""),"",VLOOKUP(BH42,step02图片链接!B:E,4,0))</f>
        <v/>
      </c>
      <c r="AJ42" t="str">
        <f ca="1">IF(OR(B42="",VLOOKUP(BH42,step02图片链接!B:G,6,0)=""),"",VLOOKUP(BH42,step02图片链接!B:G,6,0))</f>
        <v/>
      </c>
      <c r="AK42" t="str">
        <f ca="1">IF(OR(B42="",VLOOKUP(BH42,step02图片链接!B:H,7,0)=""),"",VLOOKUP(BH42,step02图片链接!B:H,7,0))</f>
        <v/>
      </c>
      <c r="AL42" t="str">
        <f ca="1">IF(OR(B42="",VLOOKUP(BH42,step02图片链接!B:I,8,0)=""),"",VLOOKUP(BH42,step02图片链接!B:I,8,0))</f>
        <v/>
      </c>
      <c r="AM42" t="str">
        <f ca="1">IF(OR(B42="",VLOOKUP(BH42,step02图片链接!B:J,9,0)=""),"",VLOOKUP(BH42,step02图片链接!B:J,9,0))</f>
        <v/>
      </c>
      <c r="AN42" t="str">
        <f ca="1">IF(OR(B42="",VLOOKUP(BH42,step02图片链接!B:K,10,0)=""),"",VLOOKUP(BH42,step02图片链接!B:K,10,0))</f>
        <v/>
      </c>
      <c r="AO42" t="str">
        <f ca="1">IF(OR(B42="",VLOOKUP(BH42,step02图片链接!B:L,11,0)=""),"",VLOOKUP(BH42,step02图片链接!B:L,11,0))</f>
        <v/>
      </c>
      <c r="AP42" t="str">
        <f ca="1">IF(OR(B42="",VLOOKUP(BH42,step02图片链接!B:M,12,0)=""),"",VLOOKUP(BH42,step02图片链接!B:M,12,0))</f>
        <v/>
      </c>
      <c r="AQ42" t="str">
        <f ca="1">IF(OR(B42="",VLOOKUP(BH42,step02图片链接!B:N,13,0)=""),"",VLOOKUP(BH42,step02图片链接!B:N,13,0))</f>
        <v/>
      </c>
      <c r="AS42" t="str">
        <f ca="1" t="shared" si="44"/>
        <v/>
      </c>
      <c r="AT42" t="str">
        <f ca="1" t="shared" si="45"/>
        <v/>
      </c>
      <c r="AU42" t="str">
        <f ca="1" t="shared" si="29"/>
        <v/>
      </c>
      <c r="AV42" t="str">
        <f ca="1">IF(B42="","",step01标题尺码信息!$T$36)</f>
        <v/>
      </c>
      <c r="AZ42" t="str">
        <f ca="1">IF(B42="","",step01标题尺码信息!$S$41)</f>
        <v/>
      </c>
      <c r="BA42" t="str">
        <f ca="1">IF(B42="","",step01标题尺码信息!$S$43)</f>
        <v/>
      </c>
      <c r="BB42" t="str">
        <f ca="1">IF(B42="","",step01标题尺码信息!$S$45)</f>
        <v/>
      </c>
      <c r="BC42" t="str">
        <f ca="1">IF(B42="","",step01标题尺码信息!$S$47)</f>
        <v/>
      </c>
      <c r="BD42" t="str">
        <f ca="1">IF(B42="","",step01标题尺码信息!$S$49)</f>
        <v/>
      </c>
      <c r="BE42" t="str">
        <f ca="1">IF(B42="","",step01标题尺码信息!$S$53)</f>
        <v/>
      </c>
      <c r="BH42" t="str">
        <f ca="1">IF(B42="","",IF(DX42="Parent","",VLOOKUP(B42,step01标题尺码信息!G:P,7,0)))</f>
        <v/>
      </c>
      <c r="BI42" t="str">
        <f ca="1">IF(B42="","",IF(DX42="Parent","",VLOOKUP(B42,step01标题尺码信息!G:P,8,0)))</f>
        <v/>
      </c>
      <c r="BK42" t="str">
        <f ca="1" t="shared" si="30"/>
        <v/>
      </c>
      <c r="BL42" t="str">
        <f ca="1" t="shared" si="31"/>
        <v/>
      </c>
      <c r="BO42" t="str">
        <f ca="1" t="shared" si="32"/>
        <v/>
      </c>
      <c r="BR42" t="str">
        <f ca="1">IF(B42="","",IF(AS42="Parent","",VLOOKUP(B42,step01标题尺码信息!G:P,9,0)))</f>
        <v/>
      </c>
      <c r="CY42" t="str">
        <f ca="1" t="shared" si="33"/>
        <v/>
      </c>
      <c r="DG42" t="str">
        <f ca="1">IF(B42="","",step01标题尺码信息!$T$30)</f>
        <v/>
      </c>
      <c r="DH42" t="str">
        <f ca="1" t="shared" si="34"/>
        <v/>
      </c>
      <c r="DN42" t="str">
        <f ca="1" t="shared" si="35"/>
        <v/>
      </c>
      <c r="DW42" t="str">
        <f ca="1" t="shared" si="36"/>
        <v/>
      </c>
      <c r="ER42" t="str">
        <f ca="1">IF(B42="","",step01标题尺码信息!$T$37)</f>
        <v/>
      </c>
      <c r="ES42" t="str">
        <f ca="1" t="shared" si="37"/>
        <v/>
      </c>
      <c r="HF42" t="str">
        <f ca="1">IF(B42="","",step01标题尺码信息!$S$2)</f>
        <v/>
      </c>
      <c r="HH42" t="str">
        <f ca="1" t="shared" si="38"/>
        <v/>
      </c>
      <c r="HI42" t="str">
        <f ca="1" t="shared" si="39"/>
        <v/>
      </c>
      <c r="HL42" t="str">
        <f ca="1" t="shared" si="40"/>
        <v/>
      </c>
      <c r="IA42" t="str">
        <f ca="1" t="shared" si="41"/>
        <v/>
      </c>
    </row>
    <row r="43" spans="1:235">
      <c r="A43" t="str">
        <f ca="1">IF(B43="","",step01标题尺码信息!$B$3)</f>
        <v/>
      </c>
      <c r="B43" t="str">
        <f ca="1">IF(step01标题尺码信息!G45="","",step01标题尺码信息!G45)</f>
        <v/>
      </c>
      <c r="C43" t="str">
        <f ca="1">IF(B43="","",step01标题尺码信息!$E$3)</f>
        <v/>
      </c>
      <c r="D43" t="str">
        <f ca="1" t="shared" si="23"/>
        <v/>
      </c>
      <c r="E43" t="str">
        <f ca="1">IF(B43="","",VLOOKUP(B43,step01标题尺码信息!G:P,4,0))</f>
        <v/>
      </c>
      <c r="H43" t="str">
        <f ca="1">IF(B43="","",step01标题尺码信息!$R$19)</f>
        <v/>
      </c>
      <c r="I43" t="str">
        <f ca="1" t="shared" si="24"/>
        <v/>
      </c>
      <c r="M43" t="str">
        <f ca="1" t="shared" si="25"/>
        <v/>
      </c>
      <c r="U43" t="str">
        <f ca="1">IF(B43="","",step01标题尺码信息!$S$1)</f>
        <v/>
      </c>
      <c r="V43" t="str">
        <f ca="1" t="shared" si="26"/>
        <v/>
      </c>
      <c r="W43" t="str">
        <f ca="1">IF(B43="","",step01标题尺码信息!$V$1)</f>
        <v/>
      </c>
      <c r="X43" t="str">
        <f ca="1">IF(B43="","",step01标题尺码信息!$V$2)</f>
        <v/>
      </c>
      <c r="Y43" t="str">
        <f ca="1" t="shared" si="27"/>
        <v/>
      </c>
      <c r="Z43" t="str">
        <f ca="1" t="shared" si="28"/>
        <v/>
      </c>
      <c r="AA43" t="str">
        <f ca="1">IF(B43="","",IF(CB43="Parent","",VLOOKUP(B43,step01标题尺码信息!G:P,9,0)))</f>
        <v/>
      </c>
      <c r="AG43" t="str">
        <f ca="1" t="shared" si="42"/>
        <v/>
      </c>
      <c r="AH43" t="str">
        <f ca="1" t="shared" si="43"/>
        <v/>
      </c>
      <c r="AI43" t="str">
        <f ca="1">IF(OR(B43="",VLOOKUP(BH43,step02图片链接!B:E,4,0)=""),"",VLOOKUP(BH43,step02图片链接!B:E,4,0))</f>
        <v/>
      </c>
      <c r="AJ43" t="str">
        <f ca="1">IF(OR(B43="",VLOOKUP(BH43,step02图片链接!B:G,6,0)=""),"",VLOOKUP(BH43,step02图片链接!B:G,6,0))</f>
        <v/>
      </c>
      <c r="AK43" t="str">
        <f ca="1">IF(OR(B43="",VLOOKUP(BH43,step02图片链接!B:H,7,0)=""),"",VLOOKUP(BH43,step02图片链接!B:H,7,0))</f>
        <v/>
      </c>
      <c r="AL43" t="str">
        <f ca="1">IF(OR(B43="",VLOOKUP(BH43,step02图片链接!B:I,8,0)=""),"",VLOOKUP(BH43,step02图片链接!B:I,8,0))</f>
        <v/>
      </c>
      <c r="AM43" t="str">
        <f ca="1">IF(OR(B43="",VLOOKUP(BH43,step02图片链接!B:J,9,0)=""),"",VLOOKUP(BH43,step02图片链接!B:J,9,0))</f>
        <v/>
      </c>
      <c r="AN43" t="str">
        <f ca="1">IF(OR(B43="",VLOOKUP(BH43,step02图片链接!B:K,10,0)=""),"",VLOOKUP(BH43,step02图片链接!B:K,10,0))</f>
        <v/>
      </c>
      <c r="AO43" t="str">
        <f ca="1">IF(OR(B43="",VLOOKUP(BH43,step02图片链接!B:L,11,0)=""),"",VLOOKUP(BH43,step02图片链接!B:L,11,0))</f>
        <v/>
      </c>
      <c r="AP43" t="str">
        <f ca="1">IF(OR(B43="",VLOOKUP(BH43,step02图片链接!B:M,12,0)=""),"",VLOOKUP(BH43,step02图片链接!B:M,12,0))</f>
        <v/>
      </c>
      <c r="AQ43" t="str">
        <f ca="1">IF(OR(B43="",VLOOKUP(BH43,step02图片链接!B:N,13,0)=""),"",VLOOKUP(BH43,step02图片链接!B:N,13,0))</f>
        <v/>
      </c>
      <c r="AS43" t="str">
        <f ca="1" t="shared" si="44"/>
        <v/>
      </c>
      <c r="AT43" t="str">
        <f ca="1" t="shared" si="45"/>
        <v/>
      </c>
      <c r="AU43" t="str">
        <f ca="1" t="shared" si="29"/>
        <v/>
      </c>
      <c r="AV43" t="str">
        <f ca="1">IF(B43="","",step01标题尺码信息!$T$36)</f>
        <v/>
      </c>
      <c r="AZ43" t="str">
        <f ca="1">IF(B43="","",step01标题尺码信息!$S$41)</f>
        <v/>
      </c>
      <c r="BA43" t="str">
        <f ca="1">IF(B43="","",step01标题尺码信息!$S$43)</f>
        <v/>
      </c>
      <c r="BB43" t="str">
        <f ca="1">IF(B43="","",step01标题尺码信息!$S$45)</f>
        <v/>
      </c>
      <c r="BC43" t="str">
        <f ca="1">IF(B43="","",step01标题尺码信息!$S$47)</f>
        <v/>
      </c>
      <c r="BD43" t="str">
        <f ca="1">IF(B43="","",step01标题尺码信息!$S$49)</f>
        <v/>
      </c>
      <c r="BE43" t="str">
        <f ca="1">IF(B43="","",step01标题尺码信息!$S$53)</f>
        <v/>
      </c>
      <c r="BH43" t="str">
        <f ca="1">IF(B43="","",IF(DX43="Parent","",VLOOKUP(B43,step01标题尺码信息!G:P,7,0)))</f>
        <v/>
      </c>
      <c r="BI43" t="str">
        <f ca="1">IF(B43="","",IF(DX43="Parent","",VLOOKUP(B43,step01标题尺码信息!G:P,8,0)))</f>
        <v/>
      </c>
      <c r="BK43" t="str">
        <f ca="1" t="shared" si="30"/>
        <v/>
      </c>
      <c r="BL43" t="str">
        <f ca="1" t="shared" si="31"/>
        <v/>
      </c>
      <c r="BO43" t="str">
        <f ca="1" t="shared" si="32"/>
        <v/>
      </c>
      <c r="BR43" t="str">
        <f ca="1">IF(B43="","",IF(AS43="Parent","",VLOOKUP(B43,step01标题尺码信息!G:P,9,0)))</f>
        <v/>
      </c>
      <c r="CY43" t="str">
        <f ca="1" t="shared" si="33"/>
        <v/>
      </c>
      <c r="DG43" t="str">
        <f ca="1">IF(B43="","",step01标题尺码信息!$T$30)</f>
        <v/>
      </c>
      <c r="DH43" t="str">
        <f ca="1" t="shared" si="34"/>
        <v/>
      </c>
      <c r="DN43" t="str">
        <f ca="1" t="shared" si="35"/>
        <v/>
      </c>
      <c r="DW43" t="str">
        <f ca="1" t="shared" si="36"/>
        <v/>
      </c>
      <c r="ER43" t="str">
        <f ca="1">IF(B43="","",step01标题尺码信息!$T$37)</f>
        <v/>
      </c>
      <c r="ES43" t="str">
        <f ca="1" t="shared" si="37"/>
        <v/>
      </c>
      <c r="HF43" t="str">
        <f ca="1">IF(B43="","",step01标题尺码信息!$S$2)</f>
        <v/>
      </c>
      <c r="HH43" t="str">
        <f ca="1" t="shared" si="38"/>
        <v/>
      </c>
      <c r="HI43" t="str">
        <f ca="1" t="shared" si="39"/>
        <v/>
      </c>
      <c r="HL43" t="str">
        <f ca="1" t="shared" si="40"/>
        <v/>
      </c>
      <c r="IA43" t="str">
        <f ca="1" t="shared" si="41"/>
        <v/>
      </c>
    </row>
    <row r="44" spans="1:235">
      <c r="A44" t="str">
        <f ca="1">IF(B44="","",step01标题尺码信息!$B$3)</f>
        <v/>
      </c>
      <c r="B44" t="str">
        <f ca="1">IF(step01标题尺码信息!G46="","",step01标题尺码信息!G46)</f>
        <v/>
      </c>
      <c r="C44" t="str">
        <f ca="1">IF(B44="","",step01标题尺码信息!$E$3)</f>
        <v/>
      </c>
      <c r="D44" t="str">
        <f ca="1" t="shared" si="23"/>
        <v/>
      </c>
      <c r="E44" t="str">
        <f ca="1">IF(B44="","",VLOOKUP(B44,step01标题尺码信息!G:P,4,0))</f>
        <v/>
      </c>
      <c r="H44" t="str">
        <f ca="1">IF(B44="","",step01标题尺码信息!$R$19)</f>
        <v/>
      </c>
      <c r="I44" t="str">
        <f ca="1" t="shared" si="24"/>
        <v/>
      </c>
      <c r="M44" t="str">
        <f ca="1" t="shared" si="25"/>
        <v/>
      </c>
      <c r="U44" t="str">
        <f ca="1">IF(B44="","",step01标题尺码信息!$S$1)</f>
        <v/>
      </c>
      <c r="V44" t="str">
        <f ca="1" t="shared" si="26"/>
        <v/>
      </c>
      <c r="W44" t="str">
        <f ca="1">IF(B44="","",step01标题尺码信息!$V$1)</f>
        <v/>
      </c>
      <c r="X44" t="str">
        <f ca="1">IF(B44="","",step01标题尺码信息!$V$2)</f>
        <v/>
      </c>
      <c r="Y44" t="str">
        <f ca="1" t="shared" si="27"/>
        <v/>
      </c>
      <c r="Z44" t="str">
        <f ca="1" t="shared" si="28"/>
        <v/>
      </c>
      <c r="AA44" t="str">
        <f ca="1">IF(B44="","",IF(CB44="Parent","",VLOOKUP(B44,step01标题尺码信息!G:P,9,0)))</f>
        <v/>
      </c>
      <c r="AG44" t="str">
        <f ca="1" t="shared" si="42"/>
        <v/>
      </c>
      <c r="AH44" t="str">
        <f ca="1" t="shared" si="43"/>
        <v/>
      </c>
      <c r="AI44" t="str">
        <f ca="1">IF(OR(B44="",VLOOKUP(BH44,step02图片链接!B:E,4,0)=""),"",VLOOKUP(BH44,step02图片链接!B:E,4,0))</f>
        <v/>
      </c>
      <c r="AJ44" t="str">
        <f ca="1">IF(OR(B44="",VLOOKUP(BH44,step02图片链接!B:G,6,0)=""),"",VLOOKUP(BH44,step02图片链接!B:G,6,0))</f>
        <v/>
      </c>
      <c r="AK44" t="str">
        <f ca="1">IF(OR(B44="",VLOOKUP(BH44,step02图片链接!B:H,7,0)=""),"",VLOOKUP(BH44,step02图片链接!B:H,7,0))</f>
        <v/>
      </c>
      <c r="AL44" t="str">
        <f ca="1">IF(OR(B44="",VLOOKUP(BH44,step02图片链接!B:I,8,0)=""),"",VLOOKUP(BH44,step02图片链接!B:I,8,0))</f>
        <v/>
      </c>
      <c r="AM44" t="str">
        <f ca="1">IF(OR(B44="",VLOOKUP(BH44,step02图片链接!B:J,9,0)=""),"",VLOOKUP(BH44,step02图片链接!B:J,9,0))</f>
        <v/>
      </c>
      <c r="AN44" t="str">
        <f ca="1">IF(OR(B44="",VLOOKUP(BH44,step02图片链接!B:K,10,0)=""),"",VLOOKUP(BH44,step02图片链接!B:K,10,0))</f>
        <v/>
      </c>
      <c r="AO44" t="str">
        <f ca="1">IF(OR(B44="",VLOOKUP(BH44,step02图片链接!B:L,11,0)=""),"",VLOOKUP(BH44,step02图片链接!B:L,11,0))</f>
        <v/>
      </c>
      <c r="AP44" t="str">
        <f ca="1">IF(OR(B44="",VLOOKUP(BH44,step02图片链接!B:M,12,0)=""),"",VLOOKUP(BH44,step02图片链接!B:M,12,0))</f>
        <v/>
      </c>
      <c r="AQ44" t="str">
        <f ca="1">IF(OR(B44="",VLOOKUP(BH44,step02图片链接!B:N,13,0)=""),"",VLOOKUP(BH44,step02图片链接!B:N,13,0))</f>
        <v/>
      </c>
      <c r="AS44" t="str">
        <f ca="1" t="shared" si="44"/>
        <v/>
      </c>
      <c r="AT44" t="str">
        <f ca="1" t="shared" si="45"/>
        <v/>
      </c>
      <c r="AU44" t="str">
        <f ca="1" t="shared" si="29"/>
        <v/>
      </c>
      <c r="AV44" t="str">
        <f ca="1">IF(B44="","",step01标题尺码信息!$T$36)</f>
        <v/>
      </c>
      <c r="AZ44" t="str">
        <f ca="1">IF(B44="","",step01标题尺码信息!$S$41)</f>
        <v/>
      </c>
      <c r="BA44" t="str">
        <f ca="1">IF(B44="","",step01标题尺码信息!$S$43)</f>
        <v/>
      </c>
      <c r="BB44" t="str">
        <f ca="1">IF(B44="","",step01标题尺码信息!$S$45)</f>
        <v/>
      </c>
      <c r="BC44" t="str">
        <f ca="1">IF(B44="","",step01标题尺码信息!$S$47)</f>
        <v/>
      </c>
      <c r="BD44" t="str">
        <f ca="1">IF(B44="","",step01标题尺码信息!$S$49)</f>
        <v/>
      </c>
      <c r="BE44" t="str">
        <f ca="1">IF(B44="","",step01标题尺码信息!$S$53)</f>
        <v/>
      </c>
      <c r="BH44" t="str">
        <f ca="1">IF(B44="","",IF(DX44="Parent","",VLOOKUP(B44,step01标题尺码信息!G:P,7,0)))</f>
        <v/>
      </c>
      <c r="BI44" t="str">
        <f ca="1">IF(B44="","",IF(DX44="Parent","",VLOOKUP(B44,step01标题尺码信息!G:P,8,0)))</f>
        <v/>
      </c>
      <c r="BK44" t="str">
        <f ca="1" t="shared" si="30"/>
        <v/>
      </c>
      <c r="BL44" t="str">
        <f ca="1" t="shared" si="31"/>
        <v/>
      </c>
      <c r="BO44" t="str">
        <f ca="1" t="shared" si="32"/>
        <v/>
      </c>
      <c r="BR44" t="str">
        <f ca="1">IF(B44="","",IF(AS44="Parent","",VLOOKUP(B44,step01标题尺码信息!G:P,9,0)))</f>
        <v/>
      </c>
      <c r="CY44" t="str">
        <f ca="1" t="shared" si="33"/>
        <v/>
      </c>
      <c r="DG44" t="str">
        <f ca="1">IF(B44="","",step01标题尺码信息!$T$30)</f>
        <v/>
      </c>
      <c r="DH44" t="str">
        <f ca="1" t="shared" si="34"/>
        <v/>
      </c>
      <c r="DN44" t="str">
        <f ca="1" t="shared" si="35"/>
        <v/>
      </c>
      <c r="DW44" t="str">
        <f ca="1" t="shared" si="36"/>
        <v/>
      </c>
      <c r="ER44" t="str">
        <f ca="1">IF(B44="","",step01标题尺码信息!$T$37)</f>
        <v/>
      </c>
      <c r="ES44" t="str">
        <f ca="1" t="shared" si="37"/>
        <v/>
      </c>
      <c r="HF44" t="str">
        <f ca="1">IF(B44="","",step01标题尺码信息!$S$2)</f>
        <v/>
      </c>
      <c r="HH44" t="str">
        <f ca="1" t="shared" si="38"/>
        <v/>
      </c>
      <c r="HI44" t="str">
        <f ca="1" t="shared" si="39"/>
        <v/>
      </c>
      <c r="HL44" t="str">
        <f ca="1" t="shared" si="40"/>
        <v/>
      </c>
      <c r="IA44" t="str">
        <f ca="1" t="shared" si="41"/>
        <v/>
      </c>
    </row>
    <row r="45" spans="1:235">
      <c r="A45" t="str">
        <f ca="1">IF(B45="","",step01标题尺码信息!$B$3)</f>
        <v/>
      </c>
      <c r="B45" t="str">
        <f ca="1">IF(step01标题尺码信息!G47="","",step01标题尺码信息!G47)</f>
        <v/>
      </c>
      <c r="C45" t="str">
        <f ca="1">IF(B45="","",step01标题尺码信息!$E$3)</f>
        <v/>
      </c>
      <c r="D45" t="str">
        <f ca="1" t="shared" si="23"/>
        <v/>
      </c>
      <c r="E45" t="str">
        <f ca="1">IF(B45="","",VLOOKUP(B45,step01标题尺码信息!G:P,4,0))</f>
        <v/>
      </c>
      <c r="H45" t="str">
        <f ca="1">IF(B45="","",step01标题尺码信息!$R$19)</f>
        <v/>
      </c>
      <c r="I45" t="str">
        <f ca="1" t="shared" si="24"/>
        <v/>
      </c>
      <c r="M45" t="str">
        <f ca="1" t="shared" si="25"/>
        <v/>
      </c>
      <c r="U45" t="str">
        <f ca="1">IF(B45="","",step01标题尺码信息!$S$1)</f>
        <v/>
      </c>
      <c r="V45" t="str">
        <f ca="1" t="shared" si="26"/>
        <v/>
      </c>
      <c r="W45" t="str">
        <f ca="1">IF(B45="","",step01标题尺码信息!$V$1)</f>
        <v/>
      </c>
      <c r="X45" t="str">
        <f ca="1">IF(B45="","",step01标题尺码信息!$V$2)</f>
        <v/>
      </c>
      <c r="Y45" t="str">
        <f ca="1" t="shared" si="27"/>
        <v/>
      </c>
      <c r="Z45" t="str">
        <f ca="1" t="shared" si="28"/>
        <v/>
      </c>
      <c r="AA45" t="str">
        <f ca="1">IF(B45="","",IF(CB45="Parent","",VLOOKUP(B45,step01标题尺码信息!G:P,9,0)))</f>
        <v/>
      </c>
      <c r="AG45" t="str">
        <f ca="1" t="shared" si="42"/>
        <v/>
      </c>
      <c r="AH45" t="str">
        <f ca="1" t="shared" si="43"/>
        <v/>
      </c>
      <c r="AI45" t="str">
        <f ca="1">IF(OR(B45="",VLOOKUP(BH45,step02图片链接!B:E,4,0)=""),"",VLOOKUP(BH45,step02图片链接!B:E,4,0))</f>
        <v/>
      </c>
      <c r="AJ45" t="str">
        <f ca="1">IF(OR(B45="",VLOOKUP(BH45,step02图片链接!B:G,6,0)=""),"",VLOOKUP(BH45,step02图片链接!B:G,6,0))</f>
        <v/>
      </c>
      <c r="AK45" t="str">
        <f ca="1">IF(OR(B45="",VLOOKUP(BH45,step02图片链接!B:H,7,0)=""),"",VLOOKUP(BH45,step02图片链接!B:H,7,0))</f>
        <v/>
      </c>
      <c r="AL45" t="str">
        <f ca="1">IF(OR(B45="",VLOOKUP(BH45,step02图片链接!B:I,8,0)=""),"",VLOOKUP(BH45,step02图片链接!B:I,8,0))</f>
        <v/>
      </c>
      <c r="AM45" t="str">
        <f ca="1">IF(OR(B45="",VLOOKUP(BH45,step02图片链接!B:J,9,0)=""),"",VLOOKUP(BH45,step02图片链接!B:J,9,0))</f>
        <v/>
      </c>
      <c r="AN45" t="str">
        <f ca="1">IF(OR(B45="",VLOOKUP(BH45,step02图片链接!B:K,10,0)=""),"",VLOOKUP(BH45,step02图片链接!B:K,10,0))</f>
        <v/>
      </c>
      <c r="AO45" t="str">
        <f ca="1">IF(OR(B45="",VLOOKUP(BH45,step02图片链接!B:L,11,0)=""),"",VLOOKUP(BH45,step02图片链接!B:L,11,0))</f>
        <v/>
      </c>
      <c r="AP45" t="str">
        <f ca="1">IF(OR(B45="",VLOOKUP(BH45,step02图片链接!B:M,12,0)=""),"",VLOOKUP(BH45,step02图片链接!B:M,12,0))</f>
        <v/>
      </c>
      <c r="AQ45" t="str">
        <f ca="1">IF(OR(B45="",VLOOKUP(BH45,step02图片链接!B:N,13,0)=""),"",VLOOKUP(BH45,step02图片链接!B:N,13,0))</f>
        <v/>
      </c>
      <c r="AS45" t="str">
        <f ca="1" t="shared" si="44"/>
        <v/>
      </c>
      <c r="AT45" t="str">
        <f ca="1" t="shared" si="45"/>
        <v/>
      </c>
      <c r="AU45" t="str">
        <f ca="1" t="shared" si="29"/>
        <v/>
      </c>
      <c r="AV45" t="str">
        <f ca="1">IF(B45="","",step01标题尺码信息!$T$36)</f>
        <v/>
      </c>
      <c r="AZ45" t="str">
        <f ca="1">IF(B45="","",step01标题尺码信息!$S$41)</f>
        <v/>
      </c>
      <c r="BA45" t="str">
        <f ca="1">IF(B45="","",step01标题尺码信息!$S$43)</f>
        <v/>
      </c>
      <c r="BB45" t="str">
        <f ca="1">IF(B45="","",step01标题尺码信息!$S$45)</f>
        <v/>
      </c>
      <c r="BC45" t="str">
        <f ca="1">IF(B45="","",step01标题尺码信息!$S$47)</f>
        <v/>
      </c>
      <c r="BD45" t="str">
        <f ca="1">IF(B45="","",step01标题尺码信息!$S$49)</f>
        <v/>
      </c>
      <c r="BE45" t="str">
        <f ca="1">IF(B45="","",step01标题尺码信息!$S$53)</f>
        <v/>
      </c>
      <c r="BH45" t="str">
        <f ca="1">IF(B45="","",IF(DX45="Parent","",VLOOKUP(B45,step01标题尺码信息!G:P,7,0)))</f>
        <v/>
      </c>
      <c r="BI45" t="str">
        <f ca="1">IF(B45="","",IF(DX45="Parent","",VLOOKUP(B45,step01标题尺码信息!G:P,8,0)))</f>
        <v/>
      </c>
      <c r="BK45" t="str">
        <f ca="1" t="shared" si="30"/>
        <v/>
      </c>
      <c r="BL45" t="str">
        <f ca="1" t="shared" si="31"/>
        <v/>
      </c>
      <c r="BO45" t="str">
        <f ca="1" t="shared" si="32"/>
        <v/>
      </c>
      <c r="BR45" t="str">
        <f ca="1">IF(B45="","",IF(AS45="Parent","",VLOOKUP(B45,step01标题尺码信息!G:P,9,0)))</f>
        <v/>
      </c>
      <c r="CY45" t="str">
        <f ca="1" t="shared" si="33"/>
        <v/>
      </c>
      <c r="DG45" t="str">
        <f ca="1">IF(B45="","",step01标题尺码信息!$T$30)</f>
        <v/>
      </c>
      <c r="DH45" t="str">
        <f ca="1" t="shared" si="34"/>
        <v/>
      </c>
      <c r="DN45" t="str">
        <f ca="1" t="shared" si="35"/>
        <v/>
      </c>
      <c r="DW45" t="str">
        <f ca="1" t="shared" si="36"/>
        <v/>
      </c>
      <c r="ER45" t="str">
        <f ca="1">IF(B45="","",step01标题尺码信息!$T$37)</f>
        <v/>
      </c>
      <c r="ES45" t="str">
        <f ca="1" t="shared" si="37"/>
        <v/>
      </c>
      <c r="HF45" t="str">
        <f ca="1">IF(B45="","",step01标题尺码信息!$S$2)</f>
        <v/>
      </c>
      <c r="HH45" t="str">
        <f ca="1" t="shared" si="38"/>
        <v/>
      </c>
      <c r="HI45" t="str">
        <f ca="1" t="shared" si="39"/>
        <v/>
      </c>
      <c r="HL45" t="str">
        <f ca="1" t="shared" si="40"/>
        <v/>
      </c>
      <c r="IA45" t="str">
        <f ca="1" t="shared" si="41"/>
        <v/>
      </c>
    </row>
    <row r="46" spans="1:235">
      <c r="A46" t="str">
        <f ca="1">IF(B46="","",step01标题尺码信息!$B$3)</f>
        <v/>
      </c>
      <c r="B46" t="str">
        <f ca="1">IF(step01标题尺码信息!G48="","",step01标题尺码信息!G48)</f>
        <v/>
      </c>
      <c r="C46" t="str">
        <f ca="1">IF(B46="","",step01标题尺码信息!$E$3)</f>
        <v/>
      </c>
      <c r="D46" t="str">
        <f ca="1" t="shared" si="23"/>
        <v/>
      </c>
      <c r="E46" t="str">
        <f ca="1">IF(B46="","",VLOOKUP(B46,step01标题尺码信息!G:P,4,0))</f>
        <v/>
      </c>
      <c r="H46" t="str">
        <f ca="1">IF(B46="","",step01标题尺码信息!$R$19)</f>
        <v/>
      </c>
      <c r="I46" t="str">
        <f ca="1" t="shared" si="24"/>
        <v/>
      </c>
      <c r="M46" t="str">
        <f ca="1" t="shared" si="25"/>
        <v/>
      </c>
      <c r="U46" t="str">
        <f ca="1">IF(B46="","",step01标题尺码信息!$S$1)</f>
        <v/>
      </c>
      <c r="V46" t="str">
        <f ca="1" t="shared" si="26"/>
        <v/>
      </c>
      <c r="W46" t="str">
        <f ca="1">IF(B46="","",step01标题尺码信息!$V$1)</f>
        <v/>
      </c>
      <c r="X46" t="str">
        <f ca="1">IF(B46="","",step01标题尺码信息!$V$2)</f>
        <v/>
      </c>
      <c r="Y46" t="str">
        <f ca="1" t="shared" si="27"/>
        <v/>
      </c>
      <c r="Z46" t="str">
        <f ca="1" t="shared" si="28"/>
        <v/>
      </c>
      <c r="AA46" t="str">
        <f ca="1">IF(B46="","",IF(CB46="Parent","",VLOOKUP(B46,step01标题尺码信息!G:P,9,0)))</f>
        <v/>
      </c>
      <c r="AG46" t="str">
        <f ca="1" t="shared" si="42"/>
        <v/>
      </c>
      <c r="AH46" t="str">
        <f ca="1" t="shared" si="43"/>
        <v/>
      </c>
      <c r="AI46" t="str">
        <f ca="1">IF(OR(B46="",VLOOKUP(BH46,step02图片链接!B:E,4,0)=""),"",VLOOKUP(BH46,step02图片链接!B:E,4,0))</f>
        <v/>
      </c>
      <c r="AJ46" t="str">
        <f ca="1">IF(OR(B46="",VLOOKUP(BH46,step02图片链接!B:G,6,0)=""),"",VLOOKUP(BH46,step02图片链接!B:G,6,0))</f>
        <v/>
      </c>
      <c r="AK46" t="str">
        <f ca="1">IF(OR(B46="",VLOOKUP(BH46,step02图片链接!B:H,7,0)=""),"",VLOOKUP(BH46,step02图片链接!B:H,7,0))</f>
        <v/>
      </c>
      <c r="AL46" t="str">
        <f ca="1">IF(OR(B46="",VLOOKUP(BH46,step02图片链接!B:I,8,0)=""),"",VLOOKUP(BH46,step02图片链接!B:I,8,0))</f>
        <v/>
      </c>
      <c r="AM46" t="str">
        <f ca="1">IF(OR(B46="",VLOOKUP(BH46,step02图片链接!B:J,9,0)=""),"",VLOOKUP(BH46,step02图片链接!B:J,9,0))</f>
        <v/>
      </c>
      <c r="AN46" t="str">
        <f ca="1">IF(OR(B46="",VLOOKUP(BH46,step02图片链接!B:K,10,0)=""),"",VLOOKUP(BH46,step02图片链接!B:K,10,0))</f>
        <v/>
      </c>
      <c r="AO46" t="str">
        <f ca="1">IF(OR(B46="",VLOOKUP(BH46,step02图片链接!B:L,11,0)=""),"",VLOOKUP(BH46,step02图片链接!B:L,11,0))</f>
        <v/>
      </c>
      <c r="AP46" t="str">
        <f ca="1">IF(OR(B46="",VLOOKUP(BH46,step02图片链接!B:M,12,0)=""),"",VLOOKUP(BH46,step02图片链接!B:M,12,0))</f>
        <v/>
      </c>
      <c r="AQ46" t="str">
        <f ca="1">IF(OR(B46="",VLOOKUP(BH46,step02图片链接!B:N,13,0)=""),"",VLOOKUP(BH46,step02图片链接!B:N,13,0))</f>
        <v/>
      </c>
      <c r="AS46" t="str">
        <f ca="1" t="shared" si="44"/>
        <v/>
      </c>
      <c r="AT46" t="str">
        <f ca="1" t="shared" si="45"/>
        <v/>
      </c>
      <c r="AU46" t="str">
        <f ca="1" t="shared" si="29"/>
        <v/>
      </c>
      <c r="AV46" t="str">
        <f ca="1">IF(B46="","",step01标题尺码信息!$T$36)</f>
        <v/>
      </c>
      <c r="AZ46" t="str">
        <f ca="1">IF(B46="","",step01标题尺码信息!$S$41)</f>
        <v/>
      </c>
      <c r="BA46" t="str">
        <f ca="1">IF(B46="","",step01标题尺码信息!$S$43)</f>
        <v/>
      </c>
      <c r="BB46" t="str">
        <f ca="1">IF(B46="","",step01标题尺码信息!$S$45)</f>
        <v/>
      </c>
      <c r="BC46" t="str">
        <f ca="1">IF(B46="","",step01标题尺码信息!$S$47)</f>
        <v/>
      </c>
      <c r="BD46" t="str">
        <f ca="1">IF(B46="","",step01标题尺码信息!$S$49)</f>
        <v/>
      </c>
      <c r="BE46" t="str">
        <f ca="1">IF(B46="","",step01标题尺码信息!$S$53)</f>
        <v/>
      </c>
      <c r="BH46" t="str">
        <f ca="1">IF(B46="","",IF(DX46="Parent","",VLOOKUP(B46,step01标题尺码信息!G:P,7,0)))</f>
        <v/>
      </c>
      <c r="BI46" t="str">
        <f ca="1">IF(B46="","",IF(DX46="Parent","",VLOOKUP(B46,step01标题尺码信息!G:P,8,0)))</f>
        <v/>
      </c>
      <c r="BK46" t="str">
        <f ca="1" t="shared" si="30"/>
        <v/>
      </c>
      <c r="BL46" t="str">
        <f ca="1" t="shared" si="31"/>
        <v/>
      </c>
      <c r="BO46" t="str">
        <f ca="1" t="shared" si="32"/>
        <v/>
      </c>
      <c r="BR46" t="str">
        <f ca="1">IF(B46="","",IF(AS46="Parent","",VLOOKUP(B46,step01标题尺码信息!G:P,9,0)))</f>
        <v/>
      </c>
      <c r="CY46" t="str">
        <f ca="1" t="shared" si="33"/>
        <v/>
      </c>
      <c r="DG46" t="str">
        <f ca="1">IF(B46="","",step01标题尺码信息!$T$30)</f>
        <v/>
      </c>
      <c r="DH46" t="str">
        <f ca="1" t="shared" si="34"/>
        <v/>
      </c>
      <c r="DN46" t="str">
        <f ca="1" t="shared" si="35"/>
        <v/>
      </c>
      <c r="DW46" t="str">
        <f ca="1" t="shared" si="36"/>
        <v/>
      </c>
      <c r="ER46" t="str">
        <f ca="1">IF(B46="","",step01标题尺码信息!$T$37)</f>
        <v/>
      </c>
      <c r="ES46" t="str">
        <f ca="1" t="shared" si="37"/>
        <v/>
      </c>
      <c r="HF46" t="str">
        <f ca="1">IF(B46="","",step01标题尺码信息!$S$2)</f>
        <v/>
      </c>
      <c r="HH46" t="str">
        <f ca="1" t="shared" si="38"/>
        <v/>
      </c>
      <c r="HI46" t="str">
        <f ca="1" t="shared" si="39"/>
        <v/>
      </c>
      <c r="HL46" t="str">
        <f ca="1" t="shared" si="40"/>
        <v/>
      </c>
      <c r="IA46" t="str">
        <f ca="1" t="shared" si="41"/>
        <v/>
      </c>
    </row>
    <row r="47" spans="1:235">
      <c r="A47" t="str">
        <f ca="1">IF(B47="","",step01标题尺码信息!$B$3)</f>
        <v/>
      </c>
      <c r="B47" t="str">
        <f ca="1">IF(step01标题尺码信息!G49="","",step01标题尺码信息!G49)</f>
        <v/>
      </c>
      <c r="C47" t="str">
        <f ca="1">IF(B47="","",step01标题尺码信息!$E$3)</f>
        <v/>
      </c>
      <c r="D47" t="str">
        <f ca="1" t="shared" si="23"/>
        <v/>
      </c>
      <c r="E47" t="str">
        <f ca="1">IF(B47="","",VLOOKUP(B47,step01标题尺码信息!G:P,4,0))</f>
        <v/>
      </c>
      <c r="H47" t="str">
        <f ca="1">IF(B47="","",step01标题尺码信息!$R$19)</f>
        <v/>
      </c>
      <c r="I47" t="str">
        <f ca="1" t="shared" si="24"/>
        <v/>
      </c>
      <c r="M47" t="str">
        <f ca="1" t="shared" si="25"/>
        <v/>
      </c>
      <c r="U47" t="str">
        <f ca="1">IF(B47="","",step01标题尺码信息!$S$1)</f>
        <v/>
      </c>
      <c r="V47" t="str">
        <f ca="1" t="shared" si="26"/>
        <v/>
      </c>
      <c r="W47" t="str">
        <f ca="1">IF(B47="","",step01标题尺码信息!$V$1)</f>
        <v/>
      </c>
      <c r="X47" t="str">
        <f ca="1">IF(B47="","",step01标题尺码信息!$V$2)</f>
        <v/>
      </c>
      <c r="Y47" t="str">
        <f ca="1" t="shared" si="27"/>
        <v/>
      </c>
      <c r="Z47" t="str">
        <f ca="1" t="shared" si="28"/>
        <v/>
      </c>
      <c r="AA47" t="str">
        <f ca="1">IF(B47="","",IF(CB47="Parent","",VLOOKUP(B47,step01标题尺码信息!G:P,9,0)))</f>
        <v/>
      </c>
      <c r="AG47" t="str">
        <f ca="1" t="shared" si="42"/>
        <v/>
      </c>
      <c r="AH47" t="str">
        <f ca="1" t="shared" si="43"/>
        <v/>
      </c>
      <c r="AI47" t="str">
        <f ca="1">IF(OR(B47="",VLOOKUP(BH47,step02图片链接!B:E,4,0)=""),"",VLOOKUP(BH47,step02图片链接!B:E,4,0))</f>
        <v/>
      </c>
      <c r="AJ47" t="str">
        <f ca="1">IF(OR(B47="",VLOOKUP(BH47,step02图片链接!B:G,6,0)=""),"",VLOOKUP(BH47,step02图片链接!B:G,6,0))</f>
        <v/>
      </c>
      <c r="AK47" t="str">
        <f ca="1">IF(OR(B47="",VLOOKUP(BH47,step02图片链接!B:H,7,0)=""),"",VLOOKUP(BH47,step02图片链接!B:H,7,0))</f>
        <v/>
      </c>
      <c r="AL47" t="str">
        <f ca="1">IF(OR(B47="",VLOOKUP(BH47,step02图片链接!B:I,8,0)=""),"",VLOOKUP(BH47,step02图片链接!B:I,8,0))</f>
        <v/>
      </c>
      <c r="AM47" t="str">
        <f ca="1">IF(OR(B47="",VLOOKUP(BH47,step02图片链接!B:J,9,0)=""),"",VLOOKUP(BH47,step02图片链接!B:J,9,0))</f>
        <v/>
      </c>
      <c r="AN47" t="str">
        <f ca="1">IF(OR(B47="",VLOOKUP(BH47,step02图片链接!B:K,10,0)=""),"",VLOOKUP(BH47,step02图片链接!B:K,10,0))</f>
        <v/>
      </c>
      <c r="AO47" t="str">
        <f ca="1">IF(OR(B47="",VLOOKUP(BH47,step02图片链接!B:L,11,0)=""),"",VLOOKUP(BH47,step02图片链接!B:L,11,0))</f>
        <v/>
      </c>
      <c r="AP47" t="str">
        <f ca="1">IF(OR(B47="",VLOOKUP(BH47,step02图片链接!B:M,12,0)=""),"",VLOOKUP(BH47,step02图片链接!B:M,12,0))</f>
        <v/>
      </c>
      <c r="AQ47" t="str">
        <f ca="1">IF(OR(B47="",VLOOKUP(BH47,step02图片链接!B:N,13,0)=""),"",VLOOKUP(BH47,step02图片链接!B:N,13,0))</f>
        <v/>
      </c>
      <c r="AS47" t="str">
        <f ca="1" t="shared" si="44"/>
        <v/>
      </c>
      <c r="AT47" t="str">
        <f ca="1" t="shared" si="45"/>
        <v/>
      </c>
      <c r="AU47" t="str">
        <f ca="1" t="shared" si="29"/>
        <v/>
      </c>
      <c r="AV47" t="str">
        <f ca="1">IF(B47="","",step01标题尺码信息!$T$36)</f>
        <v/>
      </c>
      <c r="AZ47" t="str">
        <f ca="1">IF(B47="","",step01标题尺码信息!$S$41)</f>
        <v/>
      </c>
      <c r="BA47" t="str">
        <f ca="1">IF(B47="","",step01标题尺码信息!$S$43)</f>
        <v/>
      </c>
      <c r="BB47" t="str">
        <f ca="1">IF(B47="","",step01标题尺码信息!$S$45)</f>
        <v/>
      </c>
      <c r="BC47" t="str">
        <f ca="1">IF(B47="","",step01标题尺码信息!$S$47)</f>
        <v/>
      </c>
      <c r="BD47" t="str">
        <f ca="1">IF(B47="","",step01标题尺码信息!$S$49)</f>
        <v/>
      </c>
      <c r="BE47" t="str">
        <f ca="1">IF(B47="","",step01标题尺码信息!$S$53)</f>
        <v/>
      </c>
      <c r="BH47" t="str">
        <f ca="1">IF(B47="","",IF(DX47="Parent","",VLOOKUP(B47,step01标题尺码信息!G:P,7,0)))</f>
        <v/>
      </c>
      <c r="BI47" t="str">
        <f ca="1">IF(B47="","",IF(DX47="Parent","",VLOOKUP(B47,step01标题尺码信息!G:P,8,0)))</f>
        <v/>
      </c>
      <c r="BK47" t="str">
        <f ca="1" t="shared" si="30"/>
        <v/>
      </c>
      <c r="BL47" t="str">
        <f ca="1" t="shared" si="31"/>
        <v/>
      </c>
      <c r="BO47" t="str">
        <f ca="1" t="shared" si="32"/>
        <v/>
      </c>
      <c r="BR47" t="str">
        <f ca="1">IF(B47="","",IF(AS47="Parent","",VLOOKUP(B47,step01标题尺码信息!G:P,9,0)))</f>
        <v/>
      </c>
      <c r="CY47" t="str">
        <f ca="1" t="shared" si="33"/>
        <v/>
      </c>
      <c r="DG47" t="str">
        <f ca="1">IF(B47="","",step01标题尺码信息!$T$30)</f>
        <v/>
      </c>
      <c r="DH47" t="str">
        <f ca="1" t="shared" si="34"/>
        <v/>
      </c>
      <c r="DN47" t="str">
        <f ca="1" t="shared" si="35"/>
        <v/>
      </c>
      <c r="DW47" t="str">
        <f ca="1" t="shared" si="36"/>
        <v/>
      </c>
      <c r="ER47" t="str">
        <f ca="1">IF(B47="","",step01标题尺码信息!$T$37)</f>
        <v/>
      </c>
      <c r="ES47" t="str">
        <f ca="1" t="shared" si="37"/>
        <v/>
      </c>
      <c r="HF47" t="str">
        <f ca="1">IF(B47="","",step01标题尺码信息!$S$2)</f>
        <v/>
      </c>
      <c r="HH47" t="str">
        <f ca="1" t="shared" si="38"/>
        <v/>
      </c>
      <c r="HI47" t="str">
        <f ca="1" t="shared" si="39"/>
        <v/>
      </c>
      <c r="HL47" t="str">
        <f ca="1" t="shared" si="40"/>
        <v/>
      </c>
      <c r="IA47" t="str">
        <f ca="1" t="shared" si="41"/>
        <v/>
      </c>
    </row>
    <row r="48" spans="1:235">
      <c r="A48" t="str">
        <f ca="1">IF(B48="","",step01标题尺码信息!$B$3)</f>
        <v/>
      </c>
      <c r="B48" t="str">
        <f ca="1">IF(step01标题尺码信息!G50="","",step01标题尺码信息!G50)</f>
        <v/>
      </c>
      <c r="C48" t="str">
        <f ca="1">IF(B48="","",step01标题尺码信息!$E$3)</f>
        <v/>
      </c>
      <c r="D48" t="str">
        <f ca="1" t="shared" si="23"/>
        <v/>
      </c>
      <c r="E48" t="str">
        <f ca="1">IF(B48="","",VLOOKUP(B48,step01标题尺码信息!G:P,4,0))</f>
        <v/>
      </c>
      <c r="H48" t="str">
        <f ca="1">IF(B48="","",step01标题尺码信息!$R$19)</f>
        <v/>
      </c>
      <c r="I48" t="str">
        <f ca="1" t="shared" si="24"/>
        <v/>
      </c>
      <c r="M48" t="str">
        <f ca="1" t="shared" si="25"/>
        <v/>
      </c>
      <c r="U48" t="str">
        <f ca="1">IF(B48="","",step01标题尺码信息!$S$1)</f>
        <v/>
      </c>
      <c r="V48" t="str">
        <f ca="1" t="shared" si="26"/>
        <v/>
      </c>
      <c r="W48" t="str">
        <f ca="1">IF(B48="","",step01标题尺码信息!$V$1)</f>
        <v/>
      </c>
      <c r="X48" t="str">
        <f ca="1">IF(B48="","",step01标题尺码信息!$V$2)</f>
        <v/>
      </c>
      <c r="Y48" t="str">
        <f ca="1" t="shared" si="27"/>
        <v/>
      </c>
      <c r="Z48" t="str">
        <f ca="1" t="shared" si="28"/>
        <v/>
      </c>
      <c r="AA48" t="str">
        <f ca="1">IF(B48="","",IF(CB48="Parent","",VLOOKUP(B48,step01标题尺码信息!G:P,9,0)))</f>
        <v/>
      </c>
      <c r="AG48" t="str">
        <f ca="1" t="shared" si="42"/>
        <v/>
      </c>
      <c r="AH48" t="str">
        <f ca="1" t="shared" si="43"/>
        <v/>
      </c>
      <c r="AI48" t="str">
        <f ca="1">IF(OR(B48="",VLOOKUP(BH48,step02图片链接!B:E,4,0)=""),"",VLOOKUP(BH48,step02图片链接!B:E,4,0))</f>
        <v/>
      </c>
      <c r="AJ48" t="str">
        <f ca="1">IF(OR(B48="",VLOOKUP(BH48,step02图片链接!B:G,6,0)=""),"",VLOOKUP(BH48,step02图片链接!B:G,6,0))</f>
        <v/>
      </c>
      <c r="AK48" t="str">
        <f ca="1">IF(OR(B48="",VLOOKUP(BH48,step02图片链接!B:H,7,0)=""),"",VLOOKUP(BH48,step02图片链接!B:H,7,0))</f>
        <v/>
      </c>
      <c r="AL48" t="str">
        <f ca="1">IF(OR(B48="",VLOOKUP(BH48,step02图片链接!B:I,8,0)=""),"",VLOOKUP(BH48,step02图片链接!B:I,8,0))</f>
        <v/>
      </c>
      <c r="AM48" t="str">
        <f ca="1">IF(OR(B48="",VLOOKUP(BH48,step02图片链接!B:J,9,0)=""),"",VLOOKUP(BH48,step02图片链接!B:J,9,0))</f>
        <v/>
      </c>
      <c r="AN48" t="str">
        <f ca="1">IF(OR(B48="",VLOOKUP(BH48,step02图片链接!B:K,10,0)=""),"",VLOOKUP(BH48,step02图片链接!B:K,10,0))</f>
        <v/>
      </c>
      <c r="AO48" t="str">
        <f ca="1">IF(OR(B48="",VLOOKUP(BH48,step02图片链接!B:L,11,0)=""),"",VLOOKUP(BH48,step02图片链接!B:L,11,0))</f>
        <v/>
      </c>
      <c r="AP48" t="str">
        <f ca="1">IF(OR(B48="",VLOOKUP(BH48,step02图片链接!B:M,12,0)=""),"",VLOOKUP(BH48,step02图片链接!B:M,12,0))</f>
        <v/>
      </c>
      <c r="AQ48" t="str">
        <f ca="1">IF(OR(B48="",VLOOKUP(BH48,step02图片链接!B:N,13,0)=""),"",VLOOKUP(BH48,step02图片链接!B:N,13,0))</f>
        <v/>
      </c>
      <c r="AS48" t="str">
        <f ca="1" t="shared" si="44"/>
        <v/>
      </c>
      <c r="AT48" t="str">
        <f ca="1" t="shared" si="45"/>
        <v/>
      </c>
      <c r="AU48" t="str">
        <f ca="1" t="shared" si="29"/>
        <v/>
      </c>
      <c r="AV48" t="str">
        <f ca="1">IF(B48="","",step01标题尺码信息!$T$36)</f>
        <v/>
      </c>
      <c r="AZ48" t="str">
        <f ca="1">IF(B48="","",step01标题尺码信息!$S$41)</f>
        <v/>
      </c>
      <c r="BA48" t="str">
        <f ca="1">IF(B48="","",step01标题尺码信息!$S$43)</f>
        <v/>
      </c>
      <c r="BB48" t="str">
        <f ca="1">IF(B48="","",step01标题尺码信息!$S$45)</f>
        <v/>
      </c>
      <c r="BC48" t="str">
        <f ca="1">IF(B48="","",step01标题尺码信息!$S$47)</f>
        <v/>
      </c>
      <c r="BD48" t="str">
        <f ca="1">IF(B48="","",step01标题尺码信息!$S$49)</f>
        <v/>
      </c>
      <c r="BE48" t="str">
        <f ca="1">IF(B48="","",step01标题尺码信息!$S$53)</f>
        <v/>
      </c>
      <c r="BH48" t="str">
        <f ca="1">IF(B48="","",IF(DX48="Parent","",VLOOKUP(B48,step01标题尺码信息!G:P,7,0)))</f>
        <v/>
      </c>
      <c r="BI48" t="str">
        <f ca="1">IF(B48="","",IF(DX48="Parent","",VLOOKUP(B48,step01标题尺码信息!G:P,8,0)))</f>
        <v/>
      </c>
      <c r="BK48" t="str">
        <f ca="1" t="shared" si="30"/>
        <v/>
      </c>
      <c r="BL48" t="str">
        <f ca="1" t="shared" si="31"/>
        <v/>
      </c>
      <c r="BO48" t="str">
        <f ca="1" t="shared" si="32"/>
        <v/>
      </c>
      <c r="BR48" t="str">
        <f ca="1">IF(B48="","",IF(AS48="Parent","",VLOOKUP(B48,step01标题尺码信息!G:P,9,0)))</f>
        <v/>
      </c>
      <c r="CY48" t="str">
        <f ca="1" t="shared" si="33"/>
        <v/>
      </c>
      <c r="DG48" t="str">
        <f ca="1">IF(B48="","",step01标题尺码信息!$T$30)</f>
        <v/>
      </c>
      <c r="DH48" t="str">
        <f ca="1" t="shared" si="34"/>
        <v/>
      </c>
      <c r="DN48" t="str">
        <f ca="1" t="shared" si="35"/>
        <v/>
      </c>
      <c r="DW48" t="str">
        <f ca="1" t="shared" si="36"/>
        <v/>
      </c>
      <c r="ER48" t="str">
        <f ca="1">IF(B48="","",step01标题尺码信息!$T$37)</f>
        <v/>
      </c>
      <c r="ES48" t="str">
        <f ca="1" t="shared" si="37"/>
        <v/>
      </c>
      <c r="HF48" t="str">
        <f ca="1">IF(B48="","",step01标题尺码信息!$S$2)</f>
        <v/>
      </c>
      <c r="HH48" t="str">
        <f ca="1" t="shared" si="38"/>
        <v/>
      </c>
      <c r="HI48" t="str">
        <f ca="1" t="shared" si="39"/>
        <v/>
      </c>
      <c r="HL48" t="str">
        <f ca="1" t="shared" si="40"/>
        <v/>
      </c>
      <c r="IA48" t="str">
        <f ca="1" t="shared" si="41"/>
        <v/>
      </c>
    </row>
    <row r="49" spans="1:235">
      <c r="A49" t="str">
        <f ca="1">IF(B49="","",step01标题尺码信息!$B$3)</f>
        <v/>
      </c>
      <c r="B49" t="str">
        <f ca="1">IF(step01标题尺码信息!G51="","",step01标题尺码信息!G51)</f>
        <v/>
      </c>
      <c r="C49" t="str">
        <f ca="1">IF(B49="","",step01标题尺码信息!$E$3)</f>
        <v/>
      </c>
      <c r="D49" t="str">
        <f ca="1" t="shared" si="23"/>
        <v/>
      </c>
      <c r="E49" t="str">
        <f ca="1">IF(B49="","",VLOOKUP(B49,step01标题尺码信息!G:P,4,0))</f>
        <v/>
      </c>
      <c r="H49" t="str">
        <f ca="1">IF(B49="","",step01标题尺码信息!$R$19)</f>
        <v/>
      </c>
      <c r="I49" t="str">
        <f ca="1" t="shared" si="24"/>
        <v/>
      </c>
      <c r="M49" t="str">
        <f ca="1" t="shared" si="25"/>
        <v/>
      </c>
      <c r="U49" t="str">
        <f ca="1">IF(B49="","",step01标题尺码信息!$S$1)</f>
        <v/>
      </c>
      <c r="V49" t="str">
        <f ca="1" t="shared" si="26"/>
        <v/>
      </c>
      <c r="W49" t="str">
        <f ca="1">IF(B49="","",step01标题尺码信息!$V$1)</f>
        <v/>
      </c>
      <c r="X49" t="str">
        <f ca="1">IF(B49="","",step01标题尺码信息!$V$2)</f>
        <v/>
      </c>
      <c r="Y49" t="str">
        <f ca="1" t="shared" si="27"/>
        <v/>
      </c>
      <c r="Z49" t="str">
        <f ca="1" t="shared" si="28"/>
        <v/>
      </c>
      <c r="AA49" t="str">
        <f ca="1">IF(B49="","",IF(CB49="Parent","",VLOOKUP(B49,step01标题尺码信息!G:P,9,0)))</f>
        <v/>
      </c>
      <c r="AG49" t="str">
        <f ca="1" t="shared" si="42"/>
        <v/>
      </c>
      <c r="AH49" t="str">
        <f ca="1" t="shared" si="43"/>
        <v/>
      </c>
      <c r="AI49" t="str">
        <f ca="1">IF(OR(B49="",VLOOKUP(BH49,step02图片链接!B:E,4,0)=""),"",VLOOKUP(BH49,step02图片链接!B:E,4,0))</f>
        <v/>
      </c>
      <c r="AJ49" t="str">
        <f ca="1">IF(OR(B49="",VLOOKUP(BH49,step02图片链接!B:G,6,0)=""),"",VLOOKUP(BH49,step02图片链接!B:G,6,0))</f>
        <v/>
      </c>
      <c r="AK49" t="str">
        <f ca="1">IF(OR(B49="",VLOOKUP(BH49,step02图片链接!B:H,7,0)=""),"",VLOOKUP(BH49,step02图片链接!B:H,7,0))</f>
        <v/>
      </c>
      <c r="AL49" t="str">
        <f ca="1">IF(OR(B49="",VLOOKUP(BH49,step02图片链接!B:I,8,0)=""),"",VLOOKUP(BH49,step02图片链接!B:I,8,0))</f>
        <v/>
      </c>
      <c r="AM49" t="str">
        <f ca="1">IF(OR(B49="",VLOOKUP(BH49,step02图片链接!B:J,9,0)=""),"",VLOOKUP(BH49,step02图片链接!B:J,9,0))</f>
        <v/>
      </c>
      <c r="AN49" t="str">
        <f ca="1">IF(OR(B49="",VLOOKUP(BH49,step02图片链接!B:K,10,0)=""),"",VLOOKUP(BH49,step02图片链接!B:K,10,0))</f>
        <v/>
      </c>
      <c r="AO49" t="str">
        <f ca="1">IF(OR(B49="",VLOOKUP(BH49,step02图片链接!B:L,11,0)=""),"",VLOOKUP(BH49,step02图片链接!B:L,11,0))</f>
        <v/>
      </c>
      <c r="AP49" t="str">
        <f ca="1">IF(OR(B49="",VLOOKUP(BH49,step02图片链接!B:M,12,0)=""),"",VLOOKUP(BH49,step02图片链接!B:M,12,0))</f>
        <v/>
      </c>
      <c r="AQ49" t="str">
        <f ca="1">IF(OR(B49="",VLOOKUP(BH49,step02图片链接!B:N,13,0)=""),"",VLOOKUP(BH49,step02图片链接!B:N,13,0))</f>
        <v/>
      </c>
      <c r="AS49" t="str">
        <f ca="1" t="shared" si="44"/>
        <v/>
      </c>
      <c r="AT49" t="str">
        <f ca="1" t="shared" si="45"/>
        <v/>
      </c>
      <c r="AU49" t="str">
        <f ca="1" t="shared" si="29"/>
        <v/>
      </c>
      <c r="AV49" t="str">
        <f ca="1">IF(B49="","",step01标题尺码信息!$T$36)</f>
        <v/>
      </c>
      <c r="AZ49" t="str">
        <f ca="1">IF(B49="","",step01标题尺码信息!$S$41)</f>
        <v/>
      </c>
      <c r="BA49" t="str">
        <f ca="1">IF(B49="","",step01标题尺码信息!$S$43)</f>
        <v/>
      </c>
      <c r="BB49" t="str">
        <f ca="1">IF(B49="","",step01标题尺码信息!$S$45)</f>
        <v/>
      </c>
      <c r="BC49" t="str">
        <f ca="1">IF(B49="","",step01标题尺码信息!$S$47)</f>
        <v/>
      </c>
      <c r="BD49" t="str">
        <f ca="1">IF(B49="","",step01标题尺码信息!$S$49)</f>
        <v/>
      </c>
      <c r="BE49" t="str">
        <f ca="1">IF(B49="","",step01标题尺码信息!$S$53)</f>
        <v/>
      </c>
      <c r="BH49" t="str">
        <f ca="1">IF(B49="","",IF(DX49="Parent","",VLOOKUP(B49,step01标题尺码信息!G:P,7,0)))</f>
        <v/>
      </c>
      <c r="BI49" t="str">
        <f ca="1">IF(B49="","",IF(DX49="Parent","",VLOOKUP(B49,step01标题尺码信息!G:P,8,0)))</f>
        <v/>
      </c>
      <c r="BK49" t="str">
        <f ca="1" t="shared" si="30"/>
        <v/>
      </c>
      <c r="BL49" t="str">
        <f ca="1" t="shared" si="31"/>
        <v/>
      </c>
      <c r="BO49" t="str">
        <f ca="1" t="shared" si="32"/>
        <v/>
      </c>
      <c r="BR49" t="str">
        <f ca="1">IF(B49="","",IF(AS49="Parent","",VLOOKUP(B49,step01标题尺码信息!G:P,9,0)))</f>
        <v/>
      </c>
      <c r="CY49" t="str">
        <f ca="1" t="shared" si="33"/>
        <v/>
      </c>
      <c r="DG49" t="str">
        <f ca="1">IF(B49="","",step01标题尺码信息!$T$30)</f>
        <v/>
      </c>
      <c r="DH49" t="str">
        <f ca="1" t="shared" si="34"/>
        <v/>
      </c>
      <c r="DN49" t="str">
        <f ca="1" t="shared" si="35"/>
        <v/>
      </c>
      <c r="DW49" t="str">
        <f ca="1" t="shared" si="36"/>
        <v/>
      </c>
      <c r="ER49" t="str">
        <f ca="1">IF(B49="","",step01标题尺码信息!$T$37)</f>
        <v/>
      </c>
      <c r="ES49" t="str">
        <f ca="1" t="shared" si="37"/>
        <v/>
      </c>
      <c r="HF49" t="str">
        <f ca="1">IF(B49="","",step01标题尺码信息!$S$2)</f>
        <v/>
      </c>
      <c r="HH49" t="str">
        <f ca="1" t="shared" si="38"/>
        <v/>
      </c>
      <c r="HI49" t="str">
        <f ca="1" t="shared" si="39"/>
        <v/>
      </c>
      <c r="HL49" t="str">
        <f ca="1" t="shared" si="40"/>
        <v/>
      </c>
      <c r="IA49" t="str">
        <f ca="1" t="shared" si="41"/>
        <v/>
      </c>
    </row>
    <row r="50" spans="1:235">
      <c r="A50" t="str">
        <f ca="1">IF(B50="","",step01标题尺码信息!$B$3)</f>
        <v/>
      </c>
      <c r="B50" t="str">
        <f ca="1">IF(step01标题尺码信息!G52="","",step01标题尺码信息!G52)</f>
        <v/>
      </c>
      <c r="C50" t="str">
        <f ca="1">IF(B50="","",step01标题尺码信息!$E$3)</f>
        <v/>
      </c>
      <c r="D50" t="str">
        <f ca="1" t="shared" si="23"/>
        <v/>
      </c>
      <c r="E50" t="str">
        <f ca="1">IF(B50="","",VLOOKUP(B50,step01标题尺码信息!G:P,4,0))</f>
        <v/>
      </c>
      <c r="H50" t="str">
        <f ca="1">IF(B50="","",step01标题尺码信息!$R$19)</f>
        <v/>
      </c>
      <c r="I50" t="str">
        <f ca="1" t="shared" si="24"/>
        <v/>
      </c>
      <c r="M50" t="str">
        <f ca="1" t="shared" si="25"/>
        <v/>
      </c>
      <c r="U50" t="str">
        <f ca="1">IF(B50="","",step01标题尺码信息!$S$1)</f>
        <v/>
      </c>
      <c r="V50" t="str">
        <f ca="1" t="shared" si="26"/>
        <v/>
      </c>
      <c r="W50" t="str">
        <f ca="1">IF(B50="","",step01标题尺码信息!$V$1)</f>
        <v/>
      </c>
      <c r="X50" t="str">
        <f ca="1">IF(B50="","",step01标题尺码信息!$V$2)</f>
        <v/>
      </c>
      <c r="Y50" t="str">
        <f ca="1" t="shared" si="27"/>
        <v/>
      </c>
      <c r="Z50" t="str">
        <f ca="1" t="shared" si="28"/>
        <v/>
      </c>
      <c r="AA50" t="str">
        <f ca="1">IF(B50="","",IF(CB50="Parent","",VLOOKUP(B50,step01标题尺码信息!G:P,9,0)))</f>
        <v/>
      </c>
      <c r="AG50" t="str">
        <f ca="1" t="shared" si="42"/>
        <v/>
      </c>
      <c r="AH50" t="str">
        <f ca="1" t="shared" si="43"/>
        <v/>
      </c>
      <c r="AI50" t="str">
        <f ca="1">IF(OR(B50="",VLOOKUP(BH50,step02图片链接!B:E,4,0)=""),"",VLOOKUP(BH50,step02图片链接!B:E,4,0))</f>
        <v/>
      </c>
      <c r="AJ50" t="str">
        <f ca="1">IF(OR(B50="",VLOOKUP(BH50,step02图片链接!B:G,6,0)=""),"",VLOOKUP(BH50,step02图片链接!B:G,6,0))</f>
        <v/>
      </c>
      <c r="AK50" t="str">
        <f ca="1">IF(OR(B50="",VLOOKUP(BH50,step02图片链接!B:H,7,0)=""),"",VLOOKUP(BH50,step02图片链接!B:H,7,0))</f>
        <v/>
      </c>
      <c r="AL50" t="str">
        <f ca="1">IF(OR(B50="",VLOOKUP(BH50,step02图片链接!B:I,8,0)=""),"",VLOOKUP(BH50,step02图片链接!B:I,8,0))</f>
        <v/>
      </c>
      <c r="AM50" t="str">
        <f ca="1">IF(OR(B50="",VLOOKUP(BH50,step02图片链接!B:J,9,0)=""),"",VLOOKUP(BH50,step02图片链接!B:J,9,0))</f>
        <v/>
      </c>
      <c r="AN50" t="str">
        <f ca="1">IF(OR(B50="",VLOOKUP(BH50,step02图片链接!B:K,10,0)=""),"",VLOOKUP(BH50,step02图片链接!B:K,10,0))</f>
        <v/>
      </c>
      <c r="AO50" t="str">
        <f ca="1">IF(OR(B50="",VLOOKUP(BH50,step02图片链接!B:L,11,0)=""),"",VLOOKUP(BH50,step02图片链接!B:L,11,0))</f>
        <v/>
      </c>
      <c r="AP50" t="str">
        <f ca="1">IF(OR(B50="",VLOOKUP(BH50,step02图片链接!B:M,12,0)=""),"",VLOOKUP(BH50,step02图片链接!B:M,12,0))</f>
        <v/>
      </c>
      <c r="AQ50" t="str">
        <f ca="1">IF(OR(B50="",VLOOKUP(BH50,step02图片链接!B:N,13,0)=""),"",VLOOKUP(BH50,step02图片链接!B:N,13,0))</f>
        <v/>
      </c>
      <c r="AS50" t="str">
        <f ca="1" t="shared" si="44"/>
        <v/>
      </c>
      <c r="AT50" t="str">
        <f ca="1" t="shared" si="45"/>
        <v/>
      </c>
      <c r="AU50" t="str">
        <f ca="1" t="shared" si="29"/>
        <v/>
      </c>
      <c r="AV50" t="str">
        <f ca="1">IF(B50="","",step01标题尺码信息!$T$36)</f>
        <v/>
      </c>
      <c r="AZ50" t="str">
        <f ca="1">IF(B50="","",step01标题尺码信息!$S$41)</f>
        <v/>
      </c>
      <c r="BA50" t="str">
        <f ca="1">IF(B50="","",step01标题尺码信息!$S$43)</f>
        <v/>
      </c>
      <c r="BB50" t="str">
        <f ca="1">IF(B50="","",step01标题尺码信息!$S$45)</f>
        <v/>
      </c>
      <c r="BC50" t="str">
        <f ca="1">IF(B50="","",step01标题尺码信息!$S$47)</f>
        <v/>
      </c>
      <c r="BD50" t="str">
        <f ca="1">IF(B50="","",step01标题尺码信息!$S$49)</f>
        <v/>
      </c>
      <c r="BE50" t="str">
        <f ca="1">IF(B50="","",step01标题尺码信息!$S$53)</f>
        <v/>
      </c>
      <c r="BH50" t="str">
        <f ca="1">IF(B50="","",IF(DX50="Parent","",VLOOKUP(B50,step01标题尺码信息!G:P,7,0)))</f>
        <v/>
      </c>
      <c r="BI50" t="str">
        <f ca="1">IF(B50="","",IF(DX50="Parent","",VLOOKUP(B50,step01标题尺码信息!G:P,8,0)))</f>
        <v/>
      </c>
      <c r="BK50" t="str">
        <f ca="1" t="shared" si="30"/>
        <v/>
      </c>
      <c r="BL50" t="str">
        <f ca="1" t="shared" si="31"/>
        <v/>
      </c>
      <c r="BO50" t="str">
        <f ca="1" t="shared" si="32"/>
        <v/>
      </c>
      <c r="BR50" t="str">
        <f ca="1">IF(B50="","",IF(AS50="Parent","",VLOOKUP(B50,step01标题尺码信息!G:P,9,0)))</f>
        <v/>
      </c>
      <c r="CY50" t="str">
        <f ca="1" t="shared" si="33"/>
        <v/>
      </c>
      <c r="DG50" t="str">
        <f ca="1">IF(B50="","",step01标题尺码信息!$T$30)</f>
        <v/>
      </c>
      <c r="DH50" t="str">
        <f ca="1" t="shared" si="34"/>
        <v/>
      </c>
      <c r="DN50" t="str">
        <f ca="1" t="shared" si="35"/>
        <v/>
      </c>
      <c r="DW50" t="str">
        <f ca="1" t="shared" si="36"/>
        <v/>
      </c>
      <c r="ER50" t="str">
        <f ca="1">IF(B50="","",step01标题尺码信息!$T$37)</f>
        <v/>
      </c>
      <c r="ES50" t="str">
        <f ca="1" t="shared" si="37"/>
        <v/>
      </c>
      <c r="HF50" t="str">
        <f ca="1">IF(B50="","",step01标题尺码信息!$S$2)</f>
        <v/>
      </c>
      <c r="HH50" t="str">
        <f ca="1" t="shared" si="38"/>
        <v/>
      </c>
      <c r="HI50" t="str">
        <f ca="1" t="shared" si="39"/>
        <v/>
      </c>
      <c r="HL50" t="str">
        <f ca="1" t="shared" si="40"/>
        <v/>
      </c>
      <c r="IA50" t="str">
        <f ca="1" t="shared" si="41"/>
        <v/>
      </c>
    </row>
    <row r="51" spans="1:235">
      <c r="A51" t="str">
        <f ca="1">IF(B51="","",step01标题尺码信息!$B$3)</f>
        <v/>
      </c>
      <c r="B51" t="str">
        <f ca="1">IF(step01标题尺码信息!G53="","",step01标题尺码信息!G53)</f>
        <v/>
      </c>
      <c r="C51" t="str">
        <f ca="1">IF(B51="","",step01标题尺码信息!$E$3)</f>
        <v/>
      </c>
      <c r="D51" t="str">
        <f ca="1" t="shared" si="23"/>
        <v/>
      </c>
      <c r="E51" t="str">
        <f ca="1">IF(B51="","",VLOOKUP(B51,step01标题尺码信息!G:P,4,0))</f>
        <v/>
      </c>
      <c r="H51" t="str">
        <f ca="1">IF(B51="","",step01标题尺码信息!$R$19)</f>
        <v/>
      </c>
      <c r="I51" t="str">
        <f ca="1" t="shared" si="24"/>
        <v/>
      </c>
      <c r="M51" t="str">
        <f ca="1" t="shared" si="25"/>
        <v/>
      </c>
      <c r="U51" t="str">
        <f ca="1">IF(B51="","",step01标题尺码信息!$S$1)</f>
        <v/>
      </c>
      <c r="V51" t="str">
        <f ca="1" t="shared" si="26"/>
        <v/>
      </c>
      <c r="W51" t="str">
        <f ca="1">IF(B51="","",step01标题尺码信息!$V$1)</f>
        <v/>
      </c>
      <c r="X51" t="str">
        <f ca="1">IF(B51="","",step01标题尺码信息!$V$2)</f>
        <v/>
      </c>
      <c r="Y51" t="str">
        <f ca="1" t="shared" si="27"/>
        <v/>
      </c>
      <c r="Z51" t="str">
        <f ca="1" t="shared" si="28"/>
        <v/>
      </c>
      <c r="AA51" t="str">
        <f ca="1">IF(B51="","",IF(CB51="Parent","",VLOOKUP(B51,step01标题尺码信息!G:P,9,0)))</f>
        <v/>
      </c>
      <c r="AG51" t="str">
        <f ca="1" t="shared" si="42"/>
        <v/>
      </c>
      <c r="AH51" t="str">
        <f ca="1" t="shared" si="43"/>
        <v/>
      </c>
      <c r="AI51" t="str">
        <f ca="1">IF(OR(B51="",VLOOKUP(BH51,step02图片链接!B:E,4,0)=""),"",VLOOKUP(BH51,step02图片链接!B:E,4,0))</f>
        <v/>
      </c>
      <c r="AJ51" t="str">
        <f ca="1">IF(OR(B51="",VLOOKUP(BH51,step02图片链接!B:G,6,0)=""),"",VLOOKUP(BH51,step02图片链接!B:G,6,0))</f>
        <v/>
      </c>
      <c r="AK51" t="str">
        <f ca="1">IF(OR(B51="",VLOOKUP(BH51,step02图片链接!B:H,7,0)=""),"",VLOOKUP(BH51,step02图片链接!B:H,7,0))</f>
        <v/>
      </c>
      <c r="AL51" t="str">
        <f ca="1">IF(OR(B51="",VLOOKUP(BH51,step02图片链接!B:I,8,0)=""),"",VLOOKUP(BH51,step02图片链接!B:I,8,0))</f>
        <v/>
      </c>
      <c r="AM51" t="str">
        <f ca="1">IF(OR(B51="",VLOOKUP(BH51,step02图片链接!B:J,9,0)=""),"",VLOOKUP(BH51,step02图片链接!B:J,9,0))</f>
        <v/>
      </c>
      <c r="AN51" t="str">
        <f ca="1">IF(OR(B51="",VLOOKUP(BH51,step02图片链接!B:K,10,0)=""),"",VLOOKUP(BH51,step02图片链接!B:K,10,0))</f>
        <v/>
      </c>
      <c r="AO51" t="str">
        <f ca="1">IF(OR(B51="",VLOOKUP(BH51,step02图片链接!B:L,11,0)=""),"",VLOOKUP(BH51,step02图片链接!B:L,11,0))</f>
        <v/>
      </c>
      <c r="AP51" t="str">
        <f ca="1">IF(OR(B51="",VLOOKUP(BH51,step02图片链接!B:M,12,0)=""),"",VLOOKUP(BH51,step02图片链接!B:M,12,0))</f>
        <v/>
      </c>
      <c r="AQ51" t="str">
        <f ca="1">IF(OR(B51="",VLOOKUP(BH51,step02图片链接!B:N,13,0)=""),"",VLOOKUP(BH51,step02图片链接!B:N,13,0))</f>
        <v/>
      </c>
      <c r="AS51" t="str">
        <f ca="1" t="shared" si="44"/>
        <v/>
      </c>
      <c r="AT51" t="str">
        <f ca="1" t="shared" si="45"/>
        <v/>
      </c>
      <c r="AU51" t="str">
        <f ca="1" t="shared" si="29"/>
        <v/>
      </c>
      <c r="AV51" t="str">
        <f ca="1">IF(B51="","",step01标题尺码信息!$T$36)</f>
        <v/>
      </c>
      <c r="AZ51" t="str">
        <f ca="1">IF(B51="","",step01标题尺码信息!$S$41)</f>
        <v/>
      </c>
      <c r="BA51" t="str">
        <f ca="1">IF(B51="","",step01标题尺码信息!$S$43)</f>
        <v/>
      </c>
      <c r="BB51" t="str">
        <f ca="1">IF(B51="","",step01标题尺码信息!$S$45)</f>
        <v/>
      </c>
      <c r="BC51" t="str">
        <f ca="1">IF(B51="","",step01标题尺码信息!$S$47)</f>
        <v/>
      </c>
      <c r="BD51" t="str">
        <f ca="1">IF(B51="","",step01标题尺码信息!$S$49)</f>
        <v/>
      </c>
      <c r="BE51" t="str">
        <f ca="1">IF(B51="","",step01标题尺码信息!$S$53)</f>
        <v/>
      </c>
      <c r="BH51" t="str">
        <f ca="1">IF(B51="","",IF(DX51="Parent","",VLOOKUP(B51,step01标题尺码信息!G:P,7,0)))</f>
        <v/>
      </c>
      <c r="BI51" t="str">
        <f ca="1">IF(B51="","",IF(DX51="Parent","",VLOOKUP(B51,step01标题尺码信息!G:P,8,0)))</f>
        <v/>
      </c>
      <c r="BK51" t="str">
        <f ca="1" t="shared" si="30"/>
        <v/>
      </c>
      <c r="BL51" t="str">
        <f ca="1" t="shared" si="31"/>
        <v/>
      </c>
      <c r="BO51" t="str">
        <f ca="1" t="shared" si="32"/>
        <v/>
      </c>
      <c r="BR51" t="str">
        <f ca="1">IF(B51="","",IF(AS51="Parent","",VLOOKUP(B51,step01标题尺码信息!G:P,9,0)))</f>
        <v/>
      </c>
      <c r="CY51" t="str">
        <f ca="1" t="shared" si="33"/>
        <v/>
      </c>
      <c r="DG51" t="str">
        <f ca="1">IF(B51="","",step01标题尺码信息!$T$30)</f>
        <v/>
      </c>
      <c r="DH51" t="str">
        <f ca="1" t="shared" si="34"/>
        <v/>
      </c>
      <c r="DN51" t="str">
        <f ca="1" t="shared" si="35"/>
        <v/>
      </c>
      <c r="DW51" t="str">
        <f ca="1" t="shared" si="36"/>
        <v/>
      </c>
      <c r="ER51" t="str">
        <f ca="1">IF(B51="","",step01标题尺码信息!$T$37)</f>
        <v/>
      </c>
      <c r="ES51" t="str">
        <f ca="1" t="shared" si="37"/>
        <v/>
      </c>
      <c r="HF51" t="str">
        <f ca="1">IF(B51="","",step01标题尺码信息!$S$2)</f>
        <v/>
      </c>
      <c r="HH51" t="str">
        <f ca="1" t="shared" si="38"/>
        <v/>
      </c>
      <c r="HI51" t="str">
        <f ca="1" t="shared" si="39"/>
        <v/>
      </c>
      <c r="HL51" t="str">
        <f ca="1" t="shared" si="40"/>
        <v/>
      </c>
      <c r="IA51" t="str">
        <f ca="1" t="shared" si="41"/>
        <v/>
      </c>
    </row>
    <row r="52" spans="1:235">
      <c r="A52" t="str">
        <f ca="1">IF(B52="","",step01标题尺码信息!$B$3)</f>
        <v/>
      </c>
      <c r="B52" t="str">
        <f ca="1">IF(step01标题尺码信息!G54="","",step01标题尺码信息!G54)</f>
        <v/>
      </c>
      <c r="C52" t="str">
        <f ca="1">IF(B52="","",step01标题尺码信息!$E$3)</f>
        <v/>
      </c>
      <c r="D52" t="str">
        <f ca="1" t="shared" si="23"/>
        <v/>
      </c>
      <c r="E52" t="str">
        <f ca="1">IF(B52="","",VLOOKUP(B52,step01标题尺码信息!G:P,4,0))</f>
        <v/>
      </c>
      <c r="H52" t="str">
        <f ca="1">IF(B52="","",step01标题尺码信息!$R$19)</f>
        <v/>
      </c>
      <c r="I52" t="str">
        <f ca="1" t="shared" si="24"/>
        <v/>
      </c>
      <c r="M52" t="str">
        <f ca="1" t="shared" si="25"/>
        <v/>
      </c>
      <c r="U52" t="str">
        <f ca="1">IF(B52="","",step01标题尺码信息!$S$1)</f>
        <v/>
      </c>
      <c r="V52" t="str">
        <f ca="1" t="shared" si="26"/>
        <v/>
      </c>
      <c r="W52" t="str">
        <f ca="1">IF(B52="","",step01标题尺码信息!$V$1)</f>
        <v/>
      </c>
      <c r="X52" t="str">
        <f ca="1">IF(B52="","",step01标题尺码信息!$V$2)</f>
        <v/>
      </c>
      <c r="Y52" t="str">
        <f ca="1" t="shared" si="27"/>
        <v/>
      </c>
      <c r="Z52" t="str">
        <f ca="1" t="shared" si="28"/>
        <v/>
      </c>
      <c r="AA52" t="str">
        <f ca="1">IF(B52="","",IF(CB52="Parent","",VLOOKUP(B52,step01标题尺码信息!G:P,9,0)))</f>
        <v/>
      </c>
      <c r="AG52" t="str">
        <f ca="1" t="shared" si="42"/>
        <v/>
      </c>
      <c r="AH52" t="str">
        <f ca="1" t="shared" si="43"/>
        <v/>
      </c>
      <c r="AI52" t="str">
        <f ca="1">IF(OR(B52="",VLOOKUP(BH52,step02图片链接!B:E,4,0)=""),"",VLOOKUP(BH52,step02图片链接!B:E,4,0))</f>
        <v/>
      </c>
      <c r="AJ52" t="str">
        <f ca="1">IF(OR(B52="",VLOOKUP(BH52,step02图片链接!B:G,6,0)=""),"",VLOOKUP(BH52,step02图片链接!B:G,6,0))</f>
        <v/>
      </c>
      <c r="AK52" t="str">
        <f ca="1">IF(OR(B52="",VLOOKUP(BH52,step02图片链接!B:H,7,0)=""),"",VLOOKUP(BH52,step02图片链接!B:H,7,0))</f>
        <v/>
      </c>
      <c r="AL52" t="str">
        <f ca="1">IF(OR(B52="",VLOOKUP(BH52,step02图片链接!B:I,8,0)=""),"",VLOOKUP(BH52,step02图片链接!B:I,8,0))</f>
        <v/>
      </c>
      <c r="AM52" t="str">
        <f ca="1">IF(OR(B52="",VLOOKUP(BH52,step02图片链接!B:J,9,0)=""),"",VLOOKUP(BH52,step02图片链接!B:J,9,0))</f>
        <v/>
      </c>
      <c r="AN52" t="str">
        <f ca="1">IF(OR(B52="",VLOOKUP(BH52,step02图片链接!B:K,10,0)=""),"",VLOOKUP(BH52,step02图片链接!B:K,10,0))</f>
        <v/>
      </c>
      <c r="AO52" t="str">
        <f ca="1">IF(OR(B52="",VLOOKUP(BH52,step02图片链接!B:L,11,0)=""),"",VLOOKUP(BH52,step02图片链接!B:L,11,0))</f>
        <v/>
      </c>
      <c r="AP52" t="str">
        <f ca="1">IF(OR(B52="",VLOOKUP(BH52,step02图片链接!B:M,12,0)=""),"",VLOOKUP(BH52,step02图片链接!B:M,12,0))</f>
        <v/>
      </c>
      <c r="AQ52" t="str">
        <f ca="1">IF(OR(B52="",VLOOKUP(BH52,step02图片链接!B:N,13,0)=""),"",VLOOKUP(BH52,step02图片链接!B:N,13,0))</f>
        <v/>
      </c>
      <c r="AS52" t="str">
        <f ca="1" t="shared" si="44"/>
        <v/>
      </c>
      <c r="AT52" t="str">
        <f ca="1" t="shared" si="45"/>
        <v/>
      </c>
      <c r="AU52" t="str">
        <f ca="1" t="shared" si="29"/>
        <v/>
      </c>
      <c r="AV52" t="str">
        <f ca="1">IF(B52="","",step01标题尺码信息!$T$36)</f>
        <v/>
      </c>
      <c r="AZ52" t="str">
        <f ca="1">IF(B52="","",step01标题尺码信息!$S$41)</f>
        <v/>
      </c>
      <c r="BA52" t="str">
        <f ca="1">IF(B52="","",step01标题尺码信息!$S$43)</f>
        <v/>
      </c>
      <c r="BB52" t="str">
        <f ca="1">IF(B52="","",step01标题尺码信息!$S$45)</f>
        <v/>
      </c>
      <c r="BC52" t="str">
        <f ca="1">IF(B52="","",step01标题尺码信息!$S$47)</f>
        <v/>
      </c>
      <c r="BD52" t="str">
        <f ca="1">IF(B52="","",step01标题尺码信息!$S$49)</f>
        <v/>
      </c>
      <c r="BE52" t="str">
        <f ca="1">IF(B52="","",step01标题尺码信息!$S$53)</f>
        <v/>
      </c>
      <c r="BH52" t="str">
        <f ca="1">IF(B52="","",IF(DX52="Parent","",VLOOKUP(B52,step01标题尺码信息!G:P,7,0)))</f>
        <v/>
      </c>
      <c r="BI52" t="str">
        <f ca="1">IF(B52="","",IF(DX52="Parent","",VLOOKUP(B52,step01标题尺码信息!G:P,8,0)))</f>
        <v/>
      </c>
      <c r="BK52" t="str">
        <f ca="1" t="shared" si="30"/>
        <v/>
      </c>
      <c r="BL52" t="str">
        <f ca="1" t="shared" si="31"/>
        <v/>
      </c>
      <c r="BO52" t="str">
        <f ca="1" t="shared" si="32"/>
        <v/>
      </c>
      <c r="BR52" t="str">
        <f ca="1">IF(B52="","",IF(AS52="Parent","",VLOOKUP(B52,step01标题尺码信息!G:P,9,0)))</f>
        <v/>
      </c>
      <c r="CY52" t="str">
        <f ca="1" t="shared" si="33"/>
        <v/>
      </c>
      <c r="DG52" t="str">
        <f ca="1">IF(B52="","",step01标题尺码信息!$T$30)</f>
        <v/>
      </c>
      <c r="DH52" t="str">
        <f ca="1" t="shared" si="34"/>
        <v/>
      </c>
      <c r="DN52" t="str">
        <f ca="1" t="shared" si="35"/>
        <v/>
      </c>
      <c r="DW52" t="str">
        <f ca="1" t="shared" si="36"/>
        <v/>
      </c>
      <c r="ER52" t="str">
        <f ca="1">IF(B52="","",step01标题尺码信息!$T$37)</f>
        <v/>
      </c>
      <c r="ES52" t="str">
        <f ca="1" t="shared" si="37"/>
        <v/>
      </c>
      <c r="HF52" t="str">
        <f ca="1">IF(B52="","",step01标题尺码信息!$S$2)</f>
        <v/>
      </c>
      <c r="HH52" t="str">
        <f ca="1" t="shared" si="38"/>
        <v/>
      </c>
      <c r="HI52" t="str">
        <f ca="1" t="shared" si="39"/>
        <v/>
      </c>
      <c r="HL52" t="str">
        <f ca="1" t="shared" si="40"/>
        <v/>
      </c>
      <c r="IA52" t="str">
        <f ca="1" t="shared" si="41"/>
        <v/>
      </c>
    </row>
    <row r="53" spans="1:235">
      <c r="A53" t="str">
        <f ca="1">IF(B53="","",step01标题尺码信息!$B$3)</f>
        <v/>
      </c>
      <c r="B53" t="str">
        <f ca="1">IF(step01标题尺码信息!G55="","",step01标题尺码信息!G55)</f>
        <v/>
      </c>
      <c r="C53" t="str">
        <f ca="1">IF(B53="","",step01标题尺码信息!$E$3)</f>
        <v/>
      </c>
      <c r="D53" t="str">
        <f ca="1" t="shared" si="23"/>
        <v/>
      </c>
      <c r="E53" t="str">
        <f ca="1">IF(B53="","",VLOOKUP(B53,step01标题尺码信息!G:P,4,0))</f>
        <v/>
      </c>
      <c r="H53" t="str">
        <f ca="1">IF(B53="","",step01标题尺码信息!$R$19)</f>
        <v/>
      </c>
      <c r="I53" t="str">
        <f ca="1" t="shared" si="24"/>
        <v/>
      </c>
      <c r="M53" t="str">
        <f ca="1" t="shared" si="25"/>
        <v/>
      </c>
      <c r="U53" t="str">
        <f ca="1">IF(B53="","",step01标题尺码信息!$S$1)</f>
        <v/>
      </c>
      <c r="V53" t="str">
        <f ca="1" t="shared" si="26"/>
        <v/>
      </c>
      <c r="W53" t="str">
        <f ca="1">IF(B53="","",step01标题尺码信息!$V$1)</f>
        <v/>
      </c>
      <c r="X53" t="str">
        <f ca="1">IF(B53="","",step01标题尺码信息!$V$2)</f>
        <v/>
      </c>
      <c r="Y53" t="str">
        <f ca="1" t="shared" si="27"/>
        <v/>
      </c>
      <c r="Z53" t="str">
        <f ca="1" t="shared" si="28"/>
        <v/>
      </c>
      <c r="AA53" t="str">
        <f ca="1">IF(B53="","",IF(CB53="Parent","",VLOOKUP(B53,step01标题尺码信息!G:P,9,0)))</f>
        <v/>
      </c>
      <c r="AG53" t="str">
        <f ca="1" t="shared" si="42"/>
        <v/>
      </c>
      <c r="AH53" t="str">
        <f ca="1" t="shared" si="43"/>
        <v/>
      </c>
      <c r="AI53" t="str">
        <f ca="1">IF(OR(B53="",VLOOKUP(BH53,step02图片链接!B:E,4,0)=""),"",VLOOKUP(BH53,step02图片链接!B:E,4,0))</f>
        <v/>
      </c>
      <c r="AJ53" t="str">
        <f ca="1">IF(OR(B53="",VLOOKUP(BH53,step02图片链接!B:G,6,0)=""),"",VLOOKUP(BH53,step02图片链接!B:G,6,0))</f>
        <v/>
      </c>
      <c r="AK53" t="str">
        <f ca="1">IF(OR(B53="",VLOOKUP(BH53,step02图片链接!B:H,7,0)=""),"",VLOOKUP(BH53,step02图片链接!B:H,7,0))</f>
        <v/>
      </c>
      <c r="AL53" t="str">
        <f ca="1">IF(OR(B53="",VLOOKUP(BH53,step02图片链接!B:I,8,0)=""),"",VLOOKUP(BH53,step02图片链接!B:I,8,0))</f>
        <v/>
      </c>
      <c r="AM53" t="str">
        <f ca="1">IF(OR(B53="",VLOOKUP(BH53,step02图片链接!B:J,9,0)=""),"",VLOOKUP(BH53,step02图片链接!B:J,9,0))</f>
        <v/>
      </c>
      <c r="AN53" t="str">
        <f ca="1">IF(OR(B53="",VLOOKUP(BH53,step02图片链接!B:K,10,0)=""),"",VLOOKUP(BH53,step02图片链接!B:K,10,0))</f>
        <v/>
      </c>
      <c r="AO53" t="str">
        <f ca="1">IF(OR(B53="",VLOOKUP(BH53,step02图片链接!B:L,11,0)=""),"",VLOOKUP(BH53,step02图片链接!B:L,11,0))</f>
        <v/>
      </c>
      <c r="AP53" t="str">
        <f ca="1">IF(OR(B53="",VLOOKUP(BH53,step02图片链接!B:M,12,0)=""),"",VLOOKUP(BH53,step02图片链接!B:M,12,0))</f>
        <v/>
      </c>
      <c r="AQ53" t="str">
        <f ca="1">IF(OR(B53="",VLOOKUP(BH53,step02图片链接!B:N,13,0)=""),"",VLOOKUP(BH53,step02图片链接!B:N,13,0))</f>
        <v/>
      </c>
      <c r="AS53" t="str">
        <f ca="1" t="shared" si="44"/>
        <v/>
      </c>
      <c r="AT53" t="str">
        <f ca="1" t="shared" si="45"/>
        <v/>
      </c>
      <c r="AU53" t="str">
        <f ca="1" t="shared" si="29"/>
        <v/>
      </c>
      <c r="AV53" t="str">
        <f ca="1">IF(B53="","",step01标题尺码信息!$T$36)</f>
        <v/>
      </c>
      <c r="AZ53" t="str">
        <f ca="1">IF(B53="","",step01标题尺码信息!$S$41)</f>
        <v/>
      </c>
      <c r="BA53" t="str">
        <f ca="1">IF(B53="","",step01标题尺码信息!$S$43)</f>
        <v/>
      </c>
      <c r="BB53" t="str">
        <f ca="1">IF(B53="","",step01标题尺码信息!$S$45)</f>
        <v/>
      </c>
      <c r="BC53" t="str">
        <f ca="1">IF(B53="","",step01标题尺码信息!$S$47)</f>
        <v/>
      </c>
      <c r="BD53" t="str">
        <f ca="1">IF(B53="","",step01标题尺码信息!$S$49)</f>
        <v/>
      </c>
      <c r="BE53" t="str">
        <f ca="1">IF(B53="","",step01标题尺码信息!$S$53)</f>
        <v/>
      </c>
      <c r="BH53" t="str">
        <f ca="1">IF(B53="","",IF(DX53="Parent","",VLOOKUP(B53,step01标题尺码信息!G:P,7,0)))</f>
        <v/>
      </c>
      <c r="BI53" t="str">
        <f ca="1">IF(B53="","",IF(DX53="Parent","",VLOOKUP(B53,step01标题尺码信息!G:P,8,0)))</f>
        <v/>
      </c>
      <c r="BK53" t="str">
        <f ca="1" t="shared" si="30"/>
        <v/>
      </c>
      <c r="BL53" t="str">
        <f ca="1" t="shared" si="31"/>
        <v/>
      </c>
      <c r="BO53" t="str">
        <f ca="1" t="shared" si="32"/>
        <v/>
      </c>
      <c r="BR53" t="str">
        <f ca="1">IF(B53="","",IF(AS53="Parent","",VLOOKUP(B53,step01标题尺码信息!G:P,9,0)))</f>
        <v/>
      </c>
      <c r="CY53" t="str">
        <f ca="1" t="shared" si="33"/>
        <v/>
      </c>
      <c r="DG53" t="str">
        <f ca="1">IF(B53="","",step01标题尺码信息!$T$30)</f>
        <v/>
      </c>
      <c r="DH53" t="str">
        <f ca="1" t="shared" si="34"/>
        <v/>
      </c>
      <c r="DN53" t="str">
        <f ca="1" t="shared" si="35"/>
        <v/>
      </c>
      <c r="DW53" t="str">
        <f ca="1" t="shared" si="36"/>
        <v/>
      </c>
      <c r="ER53" t="str">
        <f ca="1">IF(B53="","",step01标题尺码信息!$T$37)</f>
        <v/>
      </c>
      <c r="ES53" t="str">
        <f ca="1" t="shared" si="37"/>
        <v/>
      </c>
      <c r="HF53" t="str">
        <f ca="1">IF(B53="","",step01标题尺码信息!$S$2)</f>
        <v/>
      </c>
      <c r="HH53" t="str">
        <f ca="1" t="shared" si="38"/>
        <v/>
      </c>
      <c r="HI53" t="str">
        <f ca="1" t="shared" si="39"/>
        <v/>
      </c>
      <c r="HL53" t="str">
        <f ca="1" t="shared" si="40"/>
        <v/>
      </c>
      <c r="IA53" t="str">
        <f ca="1" t="shared" si="41"/>
        <v/>
      </c>
    </row>
    <row r="54" spans="1:235">
      <c r="A54" t="str">
        <f ca="1">IF(B54="","",step01标题尺码信息!$B$3)</f>
        <v/>
      </c>
      <c r="B54" t="str">
        <f ca="1">IF(step01标题尺码信息!G56="","",step01标题尺码信息!G56)</f>
        <v/>
      </c>
      <c r="C54" t="str">
        <f ca="1">IF(B54="","",step01标题尺码信息!$E$3)</f>
        <v/>
      </c>
      <c r="D54" t="str">
        <f ca="1" t="shared" si="23"/>
        <v/>
      </c>
      <c r="E54" t="str">
        <f ca="1">IF(B54="","",VLOOKUP(B54,step01标题尺码信息!G:P,4,0))</f>
        <v/>
      </c>
      <c r="H54" t="str">
        <f ca="1">IF(B54="","",step01标题尺码信息!$R$19)</f>
        <v/>
      </c>
      <c r="I54" t="str">
        <f ca="1" t="shared" si="24"/>
        <v/>
      </c>
      <c r="M54" t="str">
        <f ca="1" t="shared" si="25"/>
        <v/>
      </c>
      <c r="U54" t="str">
        <f ca="1">IF(B54="","",step01标题尺码信息!$S$1)</f>
        <v/>
      </c>
      <c r="V54" t="str">
        <f ca="1" t="shared" si="26"/>
        <v/>
      </c>
      <c r="W54" t="str">
        <f ca="1">IF(B54="","",step01标题尺码信息!$V$1)</f>
        <v/>
      </c>
      <c r="X54" t="str">
        <f ca="1">IF(B54="","",step01标题尺码信息!$V$2)</f>
        <v/>
      </c>
      <c r="Y54" t="str">
        <f ca="1" t="shared" si="27"/>
        <v/>
      </c>
      <c r="Z54" t="str">
        <f ca="1" t="shared" si="28"/>
        <v/>
      </c>
      <c r="AA54" t="str">
        <f ca="1">IF(B54="","",IF(CB54="Parent","",VLOOKUP(B54,step01标题尺码信息!G:P,9,0)))</f>
        <v/>
      </c>
      <c r="AG54" t="str">
        <f ca="1" t="shared" si="42"/>
        <v/>
      </c>
      <c r="AH54" t="str">
        <f ca="1" t="shared" si="43"/>
        <v/>
      </c>
      <c r="AI54" t="str">
        <f ca="1">IF(OR(B54="",VLOOKUP(BH54,step02图片链接!B:E,4,0)=""),"",VLOOKUP(BH54,step02图片链接!B:E,4,0))</f>
        <v/>
      </c>
      <c r="AJ54" t="str">
        <f ca="1">IF(OR(B54="",VLOOKUP(BH54,step02图片链接!B:G,6,0)=""),"",VLOOKUP(BH54,step02图片链接!B:G,6,0))</f>
        <v/>
      </c>
      <c r="AK54" t="str">
        <f ca="1">IF(OR(B54="",VLOOKUP(BH54,step02图片链接!B:H,7,0)=""),"",VLOOKUP(BH54,step02图片链接!B:H,7,0))</f>
        <v/>
      </c>
      <c r="AL54" t="str">
        <f ca="1">IF(OR(B54="",VLOOKUP(BH54,step02图片链接!B:I,8,0)=""),"",VLOOKUP(BH54,step02图片链接!B:I,8,0))</f>
        <v/>
      </c>
      <c r="AM54" t="str">
        <f ca="1">IF(OR(B54="",VLOOKUP(BH54,step02图片链接!B:J,9,0)=""),"",VLOOKUP(BH54,step02图片链接!B:J,9,0))</f>
        <v/>
      </c>
      <c r="AN54" t="str">
        <f ca="1">IF(OR(B54="",VLOOKUP(BH54,step02图片链接!B:K,10,0)=""),"",VLOOKUP(BH54,step02图片链接!B:K,10,0))</f>
        <v/>
      </c>
      <c r="AO54" t="str">
        <f ca="1">IF(OR(B54="",VLOOKUP(BH54,step02图片链接!B:L,11,0)=""),"",VLOOKUP(BH54,step02图片链接!B:L,11,0))</f>
        <v/>
      </c>
      <c r="AP54" t="str">
        <f ca="1">IF(OR(B54="",VLOOKUP(BH54,step02图片链接!B:M,12,0)=""),"",VLOOKUP(BH54,step02图片链接!B:M,12,0))</f>
        <v/>
      </c>
      <c r="AQ54" t="str">
        <f ca="1">IF(OR(B54="",VLOOKUP(BH54,step02图片链接!B:N,13,0)=""),"",VLOOKUP(BH54,step02图片链接!B:N,13,0))</f>
        <v/>
      </c>
      <c r="AS54" t="str">
        <f ca="1" t="shared" si="44"/>
        <v/>
      </c>
      <c r="AT54" t="str">
        <f ca="1" t="shared" si="45"/>
        <v/>
      </c>
      <c r="AU54" t="str">
        <f ca="1" t="shared" si="29"/>
        <v/>
      </c>
      <c r="AV54" t="str">
        <f ca="1">IF(B54="","",step01标题尺码信息!$T$36)</f>
        <v/>
      </c>
      <c r="AZ54" t="str">
        <f ca="1">IF(B54="","",step01标题尺码信息!$S$41)</f>
        <v/>
      </c>
      <c r="BA54" t="str">
        <f ca="1">IF(B54="","",step01标题尺码信息!$S$43)</f>
        <v/>
      </c>
      <c r="BB54" t="str">
        <f ca="1">IF(B54="","",step01标题尺码信息!$S$45)</f>
        <v/>
      </c>
      <c r="BC54" t="str">
        <f ca="1">IF(B54="","",step01标题尺码信息!$S$47)</f>
        <v/>
      </c>
      <c r="BD54" t="str">
        <f ca="1">IF(B54="","",step01标题尺码信息!$S$49)</f>
        <v/>
      </c>
      <c r="BE54" t="str">
        <f ca="1">IF(B54="","",step01标题尺码信息!$S$53)</f>
        <v/>
      </c>
      <c r="BH54" t="str">
        <f ca="1">IF(B54="","",IF(DX54="Parent","",VLOOKUP(B54,step01标题尺码信息!G:P,7,0)))</f>
        <v/>
      </c>
      <c r="BI54" t="str">
        <f ca="1">IF(B54="","",IF(DX54="Parent","",VLOOKUP(B54,step01标题尺码信息!G:P,8,0)))</f>
        <v/>
      </c>
      <c r="BK54" t="str">
        <f ca="1" t="shared" si="30"/>
        <v/>
      </c>
      <c r="BL54" t="str">
        <f ca="1" t="shared" si="31"/>
        <v/>
      </c>
      <c r="BO54" t="str">
        <f ca="1" t="shared" si="32"/>
        <v/>
      </c>
      <c r="BR54" t="str">
        <f ca="1">IF(B54="","",IF(AS54="Parent","",VLOOKUP(B54,step01标题尺码信息!G:P,9,0)))</f>
        <v/>
      </c>
      <c r="CY54" t="str">
        <f ca="1" t="shared" si="33"/>
        <v/>
      </c>
      <c r="DG54" t="str">
        <f ca="1">IF(B54="","",step01标题尺码信息!$T$30)</f>
        <v/>
      </c>
      <c r="DH54" t="str">
        <f ca="1" t="shared" si="34"/>
        <v/>
      </c>
      <c r="DN54" t="str">
        <f ca="1" t="shared" si="35"/>
        <v/>
      </c>
      <c r="DW54" t="str">
        <f ca="1" t="shared" si="36"/>
        <v/>
      </c>
      <c r="ER54" t="str">
        <f ca="1">IF(B54="","",step01标题尺码信息!$T$37)</f>
        <v/>
      </c>
      <c r="ES54" t="str">
        <f ca="1" t="shared" si="37"/>
        <v/>
      </c>
      <c r="HF54" t="str">
        <f ca="1">IF(B54="","",step01标题尺码信息!$S$2)</f>
        <v/>
      </c>
      <c r="HH54" t="str">
        <f ca="1" t="shared" si="38"/>
        <v/>
      </c>
      <c r="HI54" t="str">
        <f ca="1" t="shared" si="39"/>
        <v/>
      </c>
      <c r="HL54" t="str">
        <f ca="1" t="shared" si="40"/>
        <v/>
      </c>
      <c r="IA54" t="str">
        <f ca="1" t="shared" si="41"/>
        <v/>
      </c>
    </row>
    <row r="55" spans="1:235">
      <c r="A55" t="str">
        <f ca="1">IF(B55="","",step01标题尺码信息!$B$3)</f>
        <v/>
      </c>
      <c r="B55" t="str">
        <f ca="1">IF(step01标题尺码信息!G57="","",step01标题尺码信息!G57)</f>
        <v/>
      </c>
      <c r="C55" t="str">
        <f ca="1">IF(B55="","",step01标题尺码信息!$E$3)</f>
        <v/>
      </c>
      <c r="D55" t="str">
        <f ca="1" t="shared" si="23"/>
        <v/>
      </c>
      <c r="E55" t="str">
        <f ca="1">IF(B55="","",VLOOKUP(B55,step01标题尺码信息!G:P,4,0))</f>
        <v/>
      </c>
      <c r="H55" t="str">
        <f ca="1">IF(B55="","",step01标题尺码信息!$R$19)</f>
        <v/>
      </c>
      <c r="I55" t="str">
        <f ca="1" t="shared" si="24"/>
        <v/>
      </c>
      <c r="M55" t="str">
        <f ca="1" t="shared" si="25"/>
        <v/>
      </c>
      <c r="U55" t="str">
        <f ca="1">IF(B55="","",step01标题尺码信息!$S$1)</f>
        <v/>
      </c>
      <c r="V55" t="str">
        <f ca="1" t="shared" si="26"/>
        <v/>
      </c>
      <c r="W55" t="str">
        <f ca="1">IF(B55="","",step01标题尺码信息!$V$1)</f>
        <v/>
      </c>
      <c r="X55" t="str">
        <f ca="1">IF(B55="","",step01标题尺码信息!$V$2)</f>
        <v/>
      </c>
      <c r="Y55" t="str">
        <f ca="1" t="shared" si="27"/>
        <v/>
      </c>
      <c r="Z55" t="str">
        <f ca="1" t="shared" si="28"/>
        <v/>
      </c>
      <c r="AA55" t="str">
        <f ca="1">IF(B55="","",IF(CB55="Parent","",VLOOKUP(B55,step01标题尺码信息!G:P,9,0)))</f>
        <v/>
      </c>
      <c r="AG55" t="str">
        <f ca="1" t="shared" si="42"/>
        <v/>
      </c>
      <c r="AH55" t="str">
        <f ca="1" t="shared" si="43"/>
        <v/>
      </c>
      <c r="AI55" t="str">
        <f ca="1">IF(OR(B55="",VLOOKUP(BH55,step02图片链接!B:E,4,0)=""),"",VLOOKUP(BH55,step02图片链接!B:E,4,0))</f>
        <v/>
      </c>
      <c r="AJ55" t="str">
        <f ca="1">IF(OR(B55="",VLOOKUP(BH55,step02图片链接!B:G,6,0)=""),"",VLOOKUP(BH55,step02图片链接!B:G,6,0))</f>
        <v/>
      </c>
      <c r="AK55" t="str">
        <f ca="1">IF(OR(B55="",VLOOKUP(BH55,step02图片链接!B:H,7,0)=""),"",VLOOKUP(BH55,step02图片链接!B:H,7,0))</f>
        <v/>
      </c>
      <c r="AL55" t="str">
        <f ca="1">IF(OR(B55="",VLOOKUP(BH55,step02图片链接!B:I,8,0)=""),"",VLOOKUP(BH55,step02图片链接!B:I,8,0))</f>
        <v/>
      </c>
      <c r="AM55" t="str">
        <f ca="1">IF(OR(B55="",VLOOKUP(BH55,step02图片链接!B:J,9,0)=""),"",VLOOKUP(BH55,step02图片链接!B:J,9,0))</f>
        <v/>
      </c>
      <c r="AN55" t="str">
        <f ca="1">IF(OR(B55="",VLOOKUP(BH55,step02图片链接!B:K,10,0)=""),"",VLOOKUP(BH55,step02图片链接!B:K,10,0))</f>
        <v/>
      </c>
      <c r="AO55" t="str">
        <f ca="1">IF(OR(B55="",VLOOKUP(BH55,step02图片链接!B:L,11,0)=""),"",VLOOKUP(BH55,step02图片链接!B:L,11,0))</f>
        <v/>
      </c>
      <c r="AP55" t="str">
        <f ca="1">IF(OR(B55="",VLOOKUP(BH55,step02图片链接!B:M,12,0)=""),"",VLOOKUP(BH55,step02图片链接!B:M,12,0))</f>
        <v/>
      </c>
      <c r="AQ55" t="str">
        <f ca="1">IF(OR(B55="",VLOOKUP(BH55,step02图片链接!B:N,13,0)=""),"",VLOOKUP(BH55,step02图片链接!B:N,13,0))</f>
        <v/>
      </c>
      <c r="AS55" t="str">
        <f ca="1" t="shared" si="44"/>
        <v/>
      </c>
      <c r="AT55" t="str">
        <f ca="1" t="shared" si="45"/>
        <v/>
      </c>
      <c r="AU55" t="str">
        <f ca="1" t="shared" si="29"/>
        <v/>
      </c>
      <c r="AV55" t="str">
        <f ca="1">IF(B55="","",step01标题尺码信息!$T$36)</f>
        <v/>
      </c>
      <c r="AZ55" t="str">
        <f ca="1">IF(B55="","",step01标题尺码信息!$S$41)</f>
        <v/>
      </c>
      <c r="BA55" t="str">
        <f ca="1">IF(B55="","",step01标题尺码信息!$S$43)</f>
        <v/>
      </c>
      <c r="BB55" t="str">
        <f ca="1">IF(B55="","",step01标题尺码信息!$S$45)</f>
        <v/>
      </c>
      <c r="BC55" t="str">
        <f ca="1">IF(B55="","",step01标题尺码信息!$S$47)</f>
        <v/>
      </c>
      <c r="BD55" t="str">
        <f ca="1">IF(B55="","",step01标题尺码信息!$S$49)</f>
        <v/>
      </c>
      <c r="BE55" t="str">
        <f ca="1">IF(B55="","",step01标题尺码信息!$S$53)</f>
        <v/>
      </c>
      <c r="BH55" t="str">
        <f ca="1">IF(B55="","",IF(DX55="Parent","",VLOOKUP(B55,step01标题尺码信息!G:P,7,0)))</f>
        <v/>
      </c>
      <c r="BI55" t="str">
        <f ca="1">IF(B55="","",IF(DX55="Parent","",VLOOKUP(B55,step01标题尺码信息!G:P,8,0)))</f>
        <v/>
      </c>
      <c r="BK55" t="str">
        <f ca="1" t="shared" si="30"/>
        <v/>
      </c>
      <c r="BL55" t="str">
        <f ca="1" t="shared" si="31"/>
        <v/>
      </c>
      <c r="BO55" t="str">
        <f ca="1" t="shared" si="32"/>
        <v/>
      </c>
      <c r="BR55" t="str">
        <f ca="1">IF(B55="","",IF(AS55="Parent","",VLOOKUP(B55,step01标题尺码信息!G:P,9,0)))</f>
        <v/>
      </c>
      <c r="CY55" t="str">
        <f ca="1" t="shared" si="33"/>
        <v/>
      </c>
      <c r="DG55" t="str">
        <f ca="1">IF(B55="","",step01标题尺码信息!$T$30)</f>
        <v/>
      </c>
      <c r="DH55" t="str">
        <f ca="1" t="shared" si="34"/>
        <v/>
      </c>
      <c r="DN55" t="str">
        <f ca="1" t="shared" si="35"/>
        <v/>
      </c>
      <c r="DW55" t="str">
        <f ca="1" t="shared" si="36"/>
        <v/>
      </c>
      <c r="ER55" t="str">
        <f ca="1">IF(B55="","",step01标题尺码信息!$T$37)</f>
        <v/>
      </c>
      <c r="ES55" t="str">
        <f ca="1" t="shared" si="37"/>
        <v/>
      </c>
      <c r="HF55" t="str">
        <f ca="1">IF(B55="","",step01标题尺码信息!$S$2)</f>
        <v/>
      </c>
      <c r="HH55" t="str">
        <f ca="1" t="shared" si="38"/>
        <v/>
      </c>
      <c r="HI55" t="str">
        <f ca="1" t="shared" si="39"/>
        <v/>
      </c>
      <c r="HL55" t="str">
        <f ca="1" t="shared" si="40"/>
        <v/>
      </c>
      <c r="IA55" t="str">
        <f ca="1" t="shared" si="41"/>
        <v/>
      </c>
    </row>
    <row r="56" spans="1:235">
      <c r="A56" t="str">
        <f ca="1">IF(B56="","",step01标题尺码信息!$B$3)</f>
        <v/>
      </c>
      <c r="B56" t="str">
        <f ca="1">IF(step01标题尺码信息!G58="","",step01标题尺码信息!G58)</f>
        <v/>
      </c>
      <c r="C56" t="str">
        <f ca="1">IF(B56="","",step01标题尺码信息!$E$3)</f>
        <v/>
      </c>
      <c r="D56" t="str">
        <f ca="1" t="shared" si="23"/>
        <v/>
      </c>
      <c r="E56" t="str">
        <f ca="1">IF(B56="","",VLOOKUP(B56,step01标题尺码信息!G:P,4,0))</f>
        <v/>
      </c>
      <c r="H56" t="str">
        <f ca="1">IF(B56="","",step01标题尺码信息!$R$19)</f>
        <v/>
      </c>
      <c r="I56" t="str">
        <f ca="1" t="shared" si="24"/>
        <v/>
      </c>
      <c r="M56" t="str">
        <f ca="1" t="shared" si="25"/>
        <v/>
      </c>
      <c r="U56" t="str">
        <f ca="1">IF(B56="","",step01标题尺码信息!$S$1)</f>
        <v/>
      </c>
      <c r="V56" t="str">
        <f ca="1" t="shared" si="26"/>
        <v/>
      </c>
      <c r="W56" t="str">
        <f ca="1">IF(B56="","",step01标题尺码信息!$V$1)</f>
        <v/>
      </c>
      <c r="X56" t="str">
        <f ca="1">IF(B56="","",step01标题尺码信息!$V$2)</f>
        <v/>
      </c>
      <c r="Y56" t="str">
        <f ca="1" t="shared" si="27"/>
        <v/>
      </c>
      <c r="Z56" t="str">
        <f ca="1" t="shared" si="28"/>
        <v/>
      </c>
      <c r="AA56" t="str">
        <f ca="1">IF(B56="","",IF(CB56="Parent","",VLOOKUP(B56,step01标题尺码信息!G:P,9,0)))</f>
        <v/>
      </c>
      <c r="AG56" t="str">
        <f ca="1" t="shared" si="42"/>
        <v/>
      </c>
      <c r="AH56" t="str">
        <f ca="1" t="shared" si="43"/>
        <v/>
      </c>
      <c r="AI56" t="str">
        <f ca="1">IF(OR(B56="",VLOOKUP(BH56,step02图片链接!B:E,4,0)=""),"",VLOOKUP(BH56,step02图片链接!B:E,4,0))</f>
        <v/>
      </c>
      <c r="AJ56" t="str">
        <f ca="1">IF(OR(B56="",VLOOKUP(BH56,step02图片链接!B:G,6,0)=""),"",VLOOKUP(BH56,step02图片链接!B:G,6,0))</f>
        <v/>
      </c>
      <c r="AK56" t="str">
        <f ca="1">IF(OR(B56="",VLOOKUP(BH56,step02图片链接!B:H,7,0)=""),"",VLOOKUP(BH56,step02图片链接!B:H,7,0))</f>
        <v/>
      </c>
      <c r="AL56" t="str">
        <f ca="1">IF(OR(B56="",VLOOKUP(BH56,step02图片链接!B:I,8,0)=""),"",VLOOKUP(BH56,step02图片链接!B:I,8,0))</f>
        <v/>
      </c>
      <c r="AM56" t="str">
        <f ca="1">IF(OR(B56="",VLOOKUP(BH56,step02图片链接!B:J,9,0)=""),"",VLOOKUP(BH56,step02图片链接!B:J,9,0))</f>
        <v/>
      </c>
      <c r="AN56" t="str">
        <f ca="1">IF(OR(B56="",VLOOKUP(BH56,step02图片链接!B:K,10,0)=""),"",VLOOKUP(BH56,step02图片链接!B:K,10,0))</f>
        <v/>
      </c>
      <c r="AO56" t="str">
        <f ca="1">IF(OR(B56="",VLOOKUP(BH56,step02图片链接!B:L,11,0)=""),"",VLOOKUP(BH56,step02图片链接!B:L,11,0))</f>
        <v/>
      </c>
      <c r="AP56" t="str">
        <f ca="1">IF(OR(B56="",VLOOKUP(BH56,step02图片链接!B:M,12,0)=""),"",VLOOKUP(BH56,step02图片链接!B:M,12,0))</f>
        <v/>
      </c>
      <c r="AQ56" t="str">
        <f ca="1">IF(OR(B56="",VLOOKUP(BH56,step02图片链接!B:N,13,0)=""),"",VLOOKUP(BH56,step02图片链接!B:N,13,0))</f>
        <v/>
      </c>
      <c r="AS56" t="str">
        <f ca="1" t="shared" si="44"/>
        <v/>
      </c>
      <c r="AT56" t="str">
        <f ca="1" t="shared" si="45"/>
        <v/>
      </c>
      <c r="AU56" t="str">
        <f ca="1" t="shared" si="29"/>
        <v/>
      </c>
      <c r="AV56" t="str">
        <f ca="1">IF(B56="","",step01标题尺码信息!$T$36)</f>
        <v/>
      </c>
      <c r="AZ56" t="str">
        <f ca="1">IF(B56="","",step01标题尺码信息!$S$41)</f>
        <v/>
      </c>
      <c r="BA56" t="str">
        <f ca="1">IF(B56="","",step01标题尺码信息!$S$43)</f>
        <v/>
      </c>
      <c r="BB56" t="str">
        <f ca="1">IF(B56="","",step01标题尺码信息!$S$45)</f>
        <v/>
      </c>
      <c r="BC56" t="str">
        <f ca="1">IF(B56="","",step01标题尺码信息!$S$47)</f>
        <v/>
      </c>
      <c r="BD56" t="str">
        <f ca="1">IF(B56="","",step01标题尺码信息!$S$49)</f>
        <v/>
      </c>
      <c r="BE56" t="str">
        <f ca="1">IF(B56="","",step01标题尺码信息!$S$53)</f>
        <v/>
      </c>
      <c r="BH56" t="str">
        <f ca="1">IF(B56="","",IF(DX56="Parent","",VLOOKUP(B56,step01标题尺码信息!G:P,7,0)))</f>
        <v/>
      </c>
      <c r="BI56" t="str">
        <f ca="1">IF(B56="","",IF(DX56="Parent","",VLOOKUP(B56,step01标题尺码信息!G:P,8,0)))</f>
        <v/>
      </c>
      <c r="BK56" t="str">
        <f ca="1" t="shared" si="30"/>
        <v/>
      </c>
      <c r="BL56" t="str">
        <f ca="1" t="shared" si="31"/>
        <v/>
      </c>
      <c r="BO56" t="str">
        <f ca="1" t="shared" si="32"/>
        <v/>
      </c>
      <c r="BR56" t="str">
        <f ca="1">IF(B56="","",IF(AS56="Parent","",VLOOKUP(B56,step01标题尺码信息!G:P,9,0)))</f>
        <v/>
      </c>
      <c r="CY56" t="str">
        <f ca="1" t="shared" si="33"/>
        <v/>
      </c>
      <c r="DG56" t="str">
        <f ca="1">IF(B56="","",step01标题尺码信息!$T$30)</f>
        <v/>
      </c>
      <c r="DH56" t="str">
        <f ca="1" t="shared" si="34"/>
        <v/>
      </c>
      <c r="DN56" t="str">
        <f ca="1" t="shared" si="35"/>
        <v/>
      </c>
      <c r="DW56" t="str">
        <f ca="1" t="shared" si="36"/>
        <v/>
      </c>
      <c r="ER56" t="str">
        <f ca="1">IF(B56="","",step01标题尺码信息!$T$37)</f>
        <v/>
      </c>
      <c r="ES56" t="str">
        <f ca="1" t="shared" si="37"/>
        <v/>
      </c>
      <c r="HF56" t="str">
        <f ca="1">IF(B56="","",step01标题尺码信息!$S$2)</f>
        <v/>
      </c>
      <c r="HH56" t="str">
        <f ca="1" t="shared" si="38"/>
        <v/>
      </c>
      <c r="HI56" t="str">
        <f ca="1" t="shared" si="39"/>
        <v/>
      </c>
      <c r="HL56" t="str">
        <f ca="1" t="shared" si="40"/>
        <v/>
      </c>
      <c r="IA56" t="str">
        <f ca="1" t="shared" si="41"/>
        <v/>
      </c>
    </row>
    <row r="57" spans="1:235">
      <c r="A57" t="str">
        <f ca="1">IF(B57="","",step01标题尺码信息!$B$3)</f>
        <v/>
      </c>
      <c r="B57" t="str">
        <f ca="1">IF(step01标题尺码信息!G59="","",step01标题尺码信息!G59)</f>
        <v/>
      </c>
      <c r="C57" t="str">
        <f ca="1">IF(B57="","",step01标题尺码信息!$E$3)</f>
        <v/>
      </c>
      <c r="D57" t="str">
        <f ca="1" t="shared" si="23"/>
        <v/>
      </c>
      <c r="E57" t="str">
        <f ca="1">IF(B57="","",VLOOKUP(B57,step01标题尺码信息!G:P,4,0))</f>
        <v/>
      </c>
      <c r="H57" t="str">
        <f ca="1">IF(B57="","",step01标题尺码信息!$R$19)</f>
        <v/>
      </c>
      <c r="I57" t="str">
        <f ca="1" t="shared" si="24"/>
        <v/>
      </c>
      <c r="M57" t="str">
        <f ca="1" t="shared" si="25"/>
        <v/>
      </c>
      <c r="U57" t="str">
        <f ca="1">IF(B57="","",step01标题尺码信息!$S$1)</f>
        <v/>
      </c>
      <c r="V57" t="str">
        <f ca="1" t="shared" si="26"/>
        <v/>
      </c>
      <c r="W57" t="str">
        <f ca="1">IF(B57="","",step01标题尺码信息!$V$1)</f>
        <v/>
      </c>
      <c r="X57" t="str">
        <f ca="1">IF(B57="","",step01标题尺码信息!$V$2)</f>
        <v/>
      </c>
      <c r="Y57" t="str">
        <f ca="1" t="shared" si="27"/>
        <v/>
      </c>
      <c r="Z57" t="str">
        <f ca="1" t="shared" si="28"/>
        <v/>
      </c>
      <c r="AA57" t="str">
        <f ca="1">IF(B57="","",IF(CB57="Parent","",VLOOKUP(B57,step01标题尺码信息!G:P,9,0)))</f>
        <v/>
      </c>
      <c r="AG57" t="str">
        <f ca="1" t="shared" si="42"/>
        <v/>
      </c>
      <c r="AH57" t="str">
        <f ca="1" t="shared" si="43"/>
        <v/>
      </c>
      <c r="AI57" t="str">
        <f ca="1">IF(OR(B57="",VLOOKUP(BH57,step02图片链接!B:E,4,0)=""),"",VLOOKUP(BH57,step02图片链接!B:E,4,0))</f>
        <v/>
      </c>
      <c r="AJ57" t="str">
        <f ca="1">IF(OR(B57="",VLOOKUP(BH57,step02图片链接!B:G,6,0)=""),"",VLOOKUP(BH57,step02图片链接!B:G,6,0))</f>
        <v/>
      </c>
      <c r="AK57" t="str">
        <f ca="1">IF(OR(B57="",VLOOKUP(BH57,step02图片链接!B:H,7,0)=""),"",VLOOKUP(BH57,step02图片链接!B:H,7,0))</f>
        <v/>
      </c>
      <c r="AL57" t="str">
        <f ca="1">IF(OR(B57="",VLOOKUP(BH57,step02图片链接!B:I,8,0)=""),"",VLOOKUP(BH57,step02图片链接!B:I,8,0))</f>
        <v/>
      </c>
      <c r="AM57" t="str">
        <f ca="1">IF(OR(B57="",VLOOKUP(BH57,step02图片链接!B:J,9,0)=""),"",VLOOKUP(BH57,step02图片链接!B:J,9,0))</f>
        <v/>
      </c>
      <c r="AN57" t="str">
        <f ca="1">IF(OR(B57="",VLOOKUP(BH57,step02图片链接!B:K,10,0)=""),"",VLOOKUP(BH57,step02图片链接!B:K,10,0))</f>
        <v/>
      </c>
      <c r="AO57" t="str">
        <f ca="1">IF(OR(B57="",VLOOKUP(BH57,step02图片链接!B:L,11,0)=""),"",VLOOKUP(BH57,step02图片链接!B:L,11,0))</f>
        <v/>
      </c>
      <c r="AP57" t="str">
        <f ca="1">IF(OR(B57="",VLOOKUP(BH57,step02图片链接!B:M,12,0)=""),"",VLOOKUP(BH57,step02图片链接!B:M,12,0))</f>
        <v/>
      </c>
      <c r="AQ57" t="str">
        <f ca="1">IF(OR(B57="",VLOOKUP(BH57,step02图片链接!B:N,13,0)=""),"",VLOOKUP(BH57,step02图片链接!B:N,13,0))</f>
        <v/>
      </c>
      <c r="AS57" t="str">
        <f ca="1" t="shared" si="44"/>
        <v/>
      </c>
      <c r="AT57" t="str">
        <f ca="1" t="shared" si="45"/>
        <v/>
      </c>
      <c r="AU57" t="str">
        <f ca="1" t="shared" si="29"/>
        <v/>
      </c>
      <c r="AV57" t="str">
        <f ca="1">IF(B57="","",step01标题尺码信息!$T$36)</f>
        <v/>
      </c>
      <c r="AZ57" t="str">
        <f ca="1">IF(B57="","",step01标题尺码信息!$S$41)</f>
        <v/>
      </c>
      <c r="BA57" t="str">
        <f ca="1">IF(B57="","",step01标题尺码信息!$S$43)</f>
        <v/>
      </c>
      <c r="BB57" t="str">
        <f ca="1">IF(B57="","",step01标题尺码信息!$S$45)</f>
        <v/>
      </c>
      <c r="BC57" t="str">
        <f ca="1">IF(B57="","",step01标题尺码信息!$S$47)</f>
        <v/>
      </c>
      <c r="BD57" t="str">
        <f ca="1">IF(B57="","",step01标题尺码信息!$S$49)</f>
        <v/>
      </c>
      <c r="BE57" t="str">
        <f ca="1">IF(B57="","",step01标题尺码信息!$S$53)</f>
        <v/>
      </c>
      <c r="BH57" t="str">
        <f ca="1">IF(B57="","",IF(DX57="Parent","",VLOOKUP(B57,step01标题尺码信息!G:P,7,0)))</f>
        <v/>
      </c>
      <c r="BI57" t="str">
        <f ca="1">IF(B57="","",IF(DX57="Parent","",VLOOKUP(B57,step01标题尺码信息!G:P,8,0)))</f>
        <v/>
      </c>
      <c r="BK57" t="str">
        <f ca="1" t="shared" si="30"/>
        <v/>
      </c>
      <c r="BL57" t="str">
        <f ca="1" t="shared" si="31"/>
        <v/>
      </c>
      <c r="BO57" t="str">
        <f ca="1" t="shared" si="32"/>
        <v/>
      </c>
      <c r="BR57" t="str">
        <f ca="1">IF(B57="","",IF(AS57="Parent","",VLOOKUP(B57,step01标题尺码信息!G:P,9,0)))</f>
        <v/>
      </c>
      <c r="CY57" t="str">
        <f ca="1" t="shared" si="33"/>
        <v/>
      </c>
      <c r="DG57" t="str">
        <f ca="1">IF(B57="","",step01标题尺码信息!$T$30)</f>
        <v/>
      </c>
      <c r="DH57" t="str">
        <f ca="1" t="shared" si="34"/>
        <v/>
      </c>
      <c r="DN57" t="str">
        <f ca="1" t="shared" si="35"/>
        <v/>
      </c>
      <c r="DW57" t="str">
        <f ca="1" t="shared" si="36"/>
        <v/>
      </c>
      <c r="ER57" t="str">
        <f ca="1">IF(B57="","",step01标题尺码信息!$T$37)</f>
        <v/>
      </c>
      <c r="ES57" t="str">
        <f ca="1" t="shared" si="37"/>
        <v/>
      </c>
      <c r="HF57" t="str">
        <f ca="1">IF(B57="","",step01标题尺码信息!$S$2)</f>
        <v/>
      </c>
      <c r="HH57" t="str">
        <f ca="1" t="shared" si="38"/>
        <v/>
      </c>
      <c r="HI57" t="str">
        <f ca="1" t="shared" si="39"/>
        <v/>
      </c>
      <c r="HL57" t="str">
        <f ca="1" t="shared" si="40"/>
        <v/>
      </c>
      <c r="IA57" t="str">
        <f ca="1" t="shared" si="41"/>
        <v/>
      </c>
    </row>
    <row r="58" spans="1:235">
      <c r="A58" t="str">
        <f ca="1">IF(B58="","",step01标题尺码信息!$B$3)</f>
        <v/>
      </c>
      <c r="B58" t="str">
        <f ca="1">IF(step01标题尺码信息!G60="","",step01标题尺码信息!G60)</f>
        <v/>
      </c>
      <c r="C58" t="str">
        <f ca="1">IF(B58="","",step01标题尺码信息!$E$3)</f>
        <v/>
      </c>
      <c r="D58" t="str">
        <f ca="1" t="shared" si="23"/>
        <v/>
      </c>
      <c r="E58" t="str">
        <f ca="1">IF(B58="","",VLOOKUP(B58,step01标题尺码信息!G:P,4,0))</f>
        <v/>
      </c>
      <c r="H58" t="str">
        <f ca="1">IF(B58="","",step01标题尺码信息!$R$19)</f>
        <v/>
      </c>
      <c r="I58" t="str">
        <f ca="1" t="shared" si="24"/>
        <v/>
      </c>
      <c r="M58" t="str">
        <f ca="1" t="shared" si="25"/>
        <v/>
      </c>
      <c r="U58" t="str">
        <f ca="1">IF(B58="","",step01标题尺码信息!$S$1)</f>
        <v/>
      </c>
      <c r="V58" t="str">
        <f ca="1" t="shared" si="26"/>
        <v/>
      </c>
      <c r="W58" t="str">
        <f ca="1">IF(B58="","",step01标题尺码信息!$V$1)</f>
        <v/>
      </c>
      <c r="X58" t="str">
        <f ca="1">IF(B58="","",step01标题尺码信息!$V$2)</f>
        <v/>
      </c>
      <c r="Y58" t="str">
        <f ca="1" t="shared" si="27"/>
        <v/>
      </c>
      <c r="Z58" t="str">
        <f ca="1" t="shared" si="28"/>
        <v/>
      </c>
      <c r="AA58" t="str">
        <f ca="1">IF(B58="","",IF(CB58="Parent","",VLOOKUP(B58,step01标题尺码信息!G:P,9,0)))</f>
        <v/>
      </c>
      <c r="AG58" t="str">
        <f ca="1" t="shared" si="42"/>
        <v/>
      </c>
      <c r="AH58" t="str">
        <f ca="1" t="shared" si="43"/>
        <v/>
      </c>
      <c r="AI58" t="str">
        <f ca="1">IF(OR(B58="",VLOOKUP(BH58,step02图片链接!B:E,4,0)=""),"",VLOOKUP(BH58,step02图片链接!B:E,4,0))</f>
        <v/>
      </c>
      <c r="AJ58" t="str">
        <f ca="1">IF(OR(B58="",VLOOKUP(BH58,step02图片链接!B:G,6,0)=""),"",VLOOKUP(BH58,step02图片链接!B:G,6,0))</f>
        <v/>
      </c>
      <c r="AK58" t="str">
        <f ca="1">IF(OR(B58="",VLOOKUP(BH58,step02图片链接!B:H,7,0)=""),"",VLOOKUP(BH58,step02图片链接!B:H,7,0))</f>
        <v/>
      </c>
      <c r="AL58" t="str">
        <f ca="1">IF(OR(B58="",VLOOKUP(BH58,step02图片链接!B:I,8,0)=""),"",VLOOKUP(BH58,step02图片链接!B:I,8,0))</f>
        <v/>
      </c>
      <c r="AM58" t="str">
        <f ca="1">IF(OR(B58="",VLOOKUP(BH58,step02图片链接!B:J,9,0)=""),"",VLOOKUP(BH58,step02图片链接!B:J,9,0))</f>
        <v/>
      </c>
      <c r="AN58" t="str">
        <f ca="1">IF(OR(B58="",VLOOKUP(BH58,step02图片链接!B:K,10,0)=""),"",VLOOKUP(BH58,step02图片链接!B:K,10,0))</f>
        <v/>
      </c>
      <c r="AO58" t="str">
        <f ca="1">IF(OR(B58="",VLOOKUP(BH58,step02图片链接!B:L,11,0)=""),"",VLOOKUP(BH58,step02图片链接!B:L,11,0))</f>
        <v/>
      </c>
      <c r="AP58" t="str">
        <f ca="1">IF(OR(B58="",VLOOKUP(BH58,step02图片链接!B:M,12,0)=""),"",VLOOKUP(BH58,step02图片链接!B:M,12,0))</f>
        <v/>
      </c>
      <c r="AQ58" t="str">
        <f ca="1">IF(OR(B58="",VLOOKUP(BH58,step02图片链接!B:N,13,0)=""),"",VLOOKUP(BH58,step02图片链接!B:N,13,0))</f>
        <v/>
      </c>
      <c r="AS58" t="str">
        <f ca="1" t="shared" si="44"/>
        <v/>
      </c>
      <c r="AT58" t="str">
        <f ca="1" t="shared" si="45"/>
        <v/>
      </c>
      <c r="AU58" t="str">
        <f ca="1" t="shared" si="29"/>
        <v/>
      </c>
      <c r="AV58" t="str">
        <f ca="1">IF(B58="","",step01标题尺码信息!$T$36)</f>
        <v/>
      </c>
      <c r="AZ58" t="str">
        <f ca="1">IF(B58="","",step01标题尺码信息!$S$41)</f>
        <v/>
      </c>
      <c r="BA58" t="str">
        <f ca="1">IF(B58="","",step01标题尺码信息!$S$43)</f>
        <v/>
      </c>
      <c r="BB58" t="str">
        <f ca="1">IF(B58="","",step01标题尺码信息!$S$45)</f>
        <v/>
      </c>
      <c r="BC58" t="str">
        <f ca="1">IF(B58="","",step01标题尺码信息!$S$47)</f>
        <v/>
      </c>
      <c r="BD58" t="str">
        <f ca="1">IF(B58="","",step01标题尺码信息!$S$49)</f>
        <v/>
      </c>
      <c r="BE58" t="str">
        <f ca="1">IF(B58="","",step01标题尺码信息!$S$53)</f>
        <v/>
      </c>
      <c r="BH58" t="str">
        <f ca="1">IF(B58="","",IF(DX58="Parent","",VLOOKUP(B58,step01标题尺码信息!G:P,7,0)))</f>
        <v/>
      </c>
      <c r="BI58" t="str">
        <f ca="1">IF(B58="","",IF(DX58="Parent","",VLOOKUP(B58,step01标题尺码信息!G:P,8,0)))</f>
        <v/>
      </c>
      <c r="BK58" t="str">
        <f ca="1" t="shared" si="30"/>
        <v/>
      </c>
      <c r="BL58" t="str">
        <f ca="1" t="shared" si="31"/>
        <v/>
      </c>
      <c r="BO58" t="str">
        <f ca="1" t="shared" si="32"/>
        <v/>
      </c>
      <c r="BR58" t="str">
        <f ca="1">IF(B58="","",IF(AS58="Parent","",VLOOKUP(B58,step01标题尺码信息!G:P,9,0)))</f>
        <v/>
      </c>
      <c r="CY58" t="str">
        <f ca="1" t="shared" si="33"/>
        <v/>
      </c>
      <c r="DG58" t="str">
        <f ca="1">IF(B58="","",step01标题尺码信息!$T$30)</f>
        <v/>
      </c>
      <c r="DH58" t="str">
        <f ca="1" t="shared" si="34"/>
        <v/>
      </c>
      <c r="DN58" t="str">
        <f ca="1" t="shared" si="35"/>
        <v/>
      </c>
      <c r="DW58" t="str">
        <f ca="1" t="shared" si="36"/>
        <v/>
      </c>
      <c r="ER58" t="str">
        <f ca="1">IF(B58="","",step01标题尺码信息!$T$37)</f>
        <v/>
      </c>
      <c r="ES58" t="str">
        <f ca="1" t="shared" si="37"/>
        <v/>
      </c>
      <c r="HF58" t="str">
        <f ca="1">IF(B58="","",step01标题尺码信息!$S$2)</f>
        <v/>
      </c>
      <c r="HH58" t="str">
        <f ca="1" t="shared" si="38"/>
        <v/>
      </c>
      <c r="HI58" t="str">
        <f ca="1" t="shared" si="39"/>
        <v/>
      </c>
      <c r="HL58" t="str">
        <f ca="1" t="shared" si="40"/>
        <v/>
      </c>
      <c r="IA58" t="str">
        <f ca="1" t="shared" si="41"/>
        <v/>
      </c>
    </row>
    <row r="59" spans="1:235">
      <c r="A59" t="str">
        <f ca="1">IF(B59="","",step01标题尺码信息!$B$3)</f>
        <v/>
      </c>
      <c r="B59" t="str">
        <f ca="1">IF(step01标题尺码信息!G61="","",step01标题尺码信息!G61)</f>
        <v/>
      </c>
      <c r="C59" t="str">
        <f ca="1">IF(B59="","",step01标题尺码信息!$E$3)</f>
        <v/>
      </c>
      <c r="D59" t="str">
        <f ca="1" t="shared" si="23"/>
        <v/>
      </c>
      <c r="E59" t="str">
        <f ca="1">IF(B59="","",VLOOKUP(B59,step01标题尺码信息!G:P,4,0))</f>
        <v/>
      </c>
      <c r="H59" t="str">
        <f ca="1">IF(B59="","",step01标题尺码信息!$R$19)</f>
        <v/>
      </c>
      <c r="I59" t="str">
        <f ca="1" t="shared" si="24"/>
        <v/>
      </c>
      <c r="M59" t="str">
        <f ca="1" t="shared" si="25"/>
        <v/>
      </c>
      <c r="U59" t="str">
        <f ca="1">IF(B59="","",step01标题尺码信息!$S$1)</f>
        <v/>
      </c>
      <c r="V59" t="str">
        <f ca="1" t="shared" si="26"/>
        <v/>
      </c>
      <c r="W59" t="str">
        <f ca="1">IF(B59="","",step01标题尺码信息!$V$1)</f>
        <v/>
      </c>
      <c r="X59" t="str">
        <f ca="1">IF(B59="","",step01标题尺码信息!$V$2)</f>
        <v/>
      </c>
      <c r="Y59" t="str">
        <f ca="1" t="shared" si="27"/>
        <v/>
      </c>
      <c r="Z59" t="str">
        <f ca="1" t="shared" si="28"/>
        <v/>
      </c>
      <c r="AA59" t="str">
        <f ca="1">IF(B59="","",IF(CB59="Parent","",VLOOKUP(B59,step01标题尺码信息!G:P,9,0)))</f>
        <v/>
      </c>
      <c r="AG59" t="str">
        <f ca="1" t="shared" si="42"/>
        <v/>
      </c>
      <c r="AH59" t="str">
        <f ca="1" t="shared" si="43"/>
        <v/>
      </c>
      <c r="AI59" t="str">
        <f ca="1">IF(OR(B59="",VLOOKUP(BH59,step02图片链接!B:E,4,0)=""),"",VLOOKUP(BH59,step02图片链接!B:E,4,0))</f>
        <v/>
      </c>
      <c r="AJ59" t="str">
        <f ca="1">IF(OR(B59="",VLOOKUP(BH59,step02图片链接!B:G,6,0)=""),"",VLOOKUP(BH59,step02图片链接!B:G,6,0))</f>
        <v/>
      </c>
      <c r="AK59" t="str">
        <f ca="1">IF(OR(B59="",VLOOKUP(BH59,step02图片链接!B:H,7,0)=""),"",VLOOKUP(BH59,step02图片链接!B:H,7,0))</f>
        <v/>
      </c>
      <c r="AL59" t="str">
        <f ca="1">IF(OR(B59="",VLOOKUP(BH59,step02图片链接!B:I,8,0)=""),"",VLOOKUP(BH59,step02图片链接!B:I,8,0))</f>
        <v/>
      </c>
      <c r="AM59" t="str">
        <f ca="1">IF(OR(B59="",VLOOKUP(BH59,step02图片链接!B:J,9,0)=""),"",VLOOKUP(BH59,step02图片链接!B:J,9,0))</f>
        <v/>
      </c>
      <c r="AN59" t="str">
        <f ca="1">IF(OR(B59="",VLOOKUP(BH59,step02图片链接!B:K,10,0)=""),"",VLOOKUP(BH59,step02图片链接!B:K,10,0))</f>
        <v/>
      </c>
      <c r="AO59" t="str">
        <f ca="1">IF(OR(B59="",VLOOKUP(BH59,step02图片链接!B:L,11,0)=""),"",VLOOKUP(BH59,step02图片链接!B:L,11,0))</f>
        <v/>
      </c>
      <c r="AP59" t="str">
        <f ca="1">IF(OR(B59="",VLOOKUP(BH59,step02图片链接!B:M,12,0)=""),"",VLOOKUP(BH59,step02图片链接!B:M,12,0))</f>
        <v/>
      </c>
      <c r="AQ59" t="str">
        <f ca="1">IF(OR(B59="",VLOOKUP(BH59,step02图片链接!B:N,13,0)=""),"",VLOOKUP(BH59,step02图片链接!B:N,13,0))</f>
        <v/>
      </c>
      <c r="AS59" t="str">
        <f ca="1" t="shared" si="44"/>
        <v/>
      </c>
      <c r="AT59" t="str">
        <f ca="1" t="shared" si="45"/>
        <v/>
      </c>
      <c r="AU59" t="str">
        <f ca="1" t="shared" si="29"/>
        <v/>
      </c>
      <c r="AV59" t="str">
        <f ca="1">IF(B59="","",step01标题尺码信息!$T$36)</f>
        <v/>
      </c>
      <c r="AZ59" t="str">
        <f ca="1">IF(B59="","",step01标题尺码信息!$S$41)</f>
        <v/>
      </c>
      <c r="BA59" t="str">
        <f ca="1">IF(B59="","",step01标题尺码信息!$S$43)</f>
        <v/>
      </c>
      <c r="BB59" t="str">
        <f ca="1">IF(B59="","",step01标题尺码信息!$S$45)</f>
        <v/>
      </c>
      <c r="BC59" t="str">
        <f ca="1">IF(B59="","",step01标题尺码信息!$S$47)</f>
        <v/>
      </c>
      <c r="BD59" t="str">
        <f ca="1">IF(B59="","",step01标题尺码信息!$S$49)</f>
        <v/>
      </c>
      <c r="BE59" t="str">
        <f ca="1">IF(B59="","",step01标题尺码信息!$S$53)</f>
        <v/>
      </c>
      <c r="BH59" t="str">
        <f ca="1">IF(B59="","",IF(DX59="Parent","",VLOOKUP(B59,step01标题尺码信息!G:P,7,0)))</f>
        <v/>
      </c>
      <c r="BI59" t="str">
        <f ca="1">IF(B59="","",IF(DX59="Parent","",VLOOKUP(B59,step01标题尺码信息!G:P,8,0)))</f>
        <v/>
      </c>
      <c r="BK59" t="str">
        <f ca="1" t="shared" si="30"/>
        <v/>
      </c>
      <c r="BL59" t="str">
        <f ca="1" t="shared" si="31"/>
        <v/>
      </c>
      <c r="BO59" t="str">
        <f ca="1" t="shared" si="32"/>
        <v/>
      </c>
      <c r="BR59" t="str">
        <f ca="1">IF(B59="","",IF(AS59="Parent","",VLOOKUP(B59,step01标题尺码信息!G:P,9,0)))</f>
        <v/>
      </c>
      <c r="CY59" t="str">
        <f ca="1" t="shared" si="33"/>
        <v/>
      </c>
      <c r="DG59" t="str">
        <f ca="1">IF(B59="","",step01标题尺码信息!$T$30)</f>
        <v/>
      </c>
      <c r="DH59" t="str">
        <f ca="1" t="shared" si="34"/>
        <v/>
      </c>
      <c r="DN59" t="str">
        <f ca="1" t="shared" si="35"/>
        <v/>
      </c>
      <c r="DW59" t="str">
        <f ca="1" t="shared" si="36"/>
        <v/>
      </c>
      <c r="ER59" t="str">
        <f ca="1">IF(B59="","",step01标题尺码信息!$T$37)</f>
        <v/>
      </c>
      <c r="ES59" t="str">
        <f ca="1" t="shared" si="37"/>
        <v/>
      </c>
      <c r="HF59" t="str">
        <f ca="1">IF(B59="","",step01标题尺码信息!$S$2)</f>
        <v/>
      </c>
      <c r="HH59" t="str">
        <f ca="1" t="shared" si="38"/>
        <v/>
      </c>
      <c r="HI59" t="str">
        <f ca="1" t="shared" si="39"/>
        <v/>
      </c>
      <c r="HL59" t="str">
        <f ca="1" t="shared" si="40"/>
        <v/>
      </c>
      <c r="IA59" t="str">
        <f ca="1" t="shared" si="41"/>
        <v/>
      </c>
    </row>
    <row r="60" spans="1:235">
      <c r="A60" t="str">
        <f ca="1">IF(B60="","",step01标题尺码信息!$B$3)</f>
        <v/>
      </c>
      <c r="B60" t="str">
        <f ca="1">IF(step01标题尺码信息!G62="","",step01标题尺码信息!G62)</f>
        <v/>
      </c>
      <c r="C60" t="str">
        <f ca="1">IF(B60="","",step01标题尺码信息!$E$3)</f>
        <v/>
      </c>
      <c r="D60" t="str">
        <f ca="1" t="shared" si="23"/>
        <v/>
      </c>
      <c r="E60" t="str">
        <f ca="1">IF(B60="","",VLOOKUP(B60,step01标题尺码信息!G:P,4,0))</f>
        <v/>
      </c>
      <c r="H60" t="str">
        <f ca="1">IF(B60="","",step01标题尺码信息!$R$19)</f>
        <v/>
      </c>
      <c r="I60" t="str">
        <f ca="1" t="shared" si="24"/>
        <v/>
      </c>
      <c r="M60" t="str">
        <f ca="1" t="shared" si="25"/>
        <v/>
      </c>
      <c r="U60" t="str">
        <f ca="1">IF(B60="","",step01标题尺码信息!$S$1)</f>
        <v/>
      </c>
      <c r="V60" t="str">
        <f ca="1" t="shared" si="26"/>
        <v/>
      </c>
      <c r="W60" t="str">
        <f ca="1">IF(B60="","",step01标题尺码信息!$V$1)</f>
        <v/>
      </c>
      <c r="X60" t="str">
        <f ca="1">IF(B60="","",step01标题尺码信息!$V$2)</f>
        <v/>
      </c>
      <c r="Y60" t="str">
        <f ca="1" t="shared" si="27"/>
        <v/>
      </c>
      <c r="Z60" t="str">
        <f ca="1" t="shared" si="28"/>
        <v/>
      </c>
      <c r="AA60" t="str">
        <f ca="1">IF(B60="","",IF(CB60="Parent","",VLOOKUP(B60,step01标题尺码信息!G:P,9,0)))</f>
        <v/>
      </c>
      <c r="AG60" t="str">
        <f ca="1" t="shared" si="42"/>
        <v/>
      </c>
      <c r="AH60" t="str">
        <f ca="1" t="shared" si="43"/>
        <v/>
      </c>
      <c r="AI60" t="str">
        <f ca="1">IF(OR(B60="",VLOOKUP(BH60,step02图片链接!B:E,4,0)=""),"",VLOOKUP(BH60,step02图片链接!B:E,4,0))</f>
        <v/>
      </c>
      <c r="AJ60" t="str">
        <f ca="1">IF(OR(B60="",VLOOKUP(BH60,step02图片链接!B:G,6,0)=""),"",VLOOKUP(BH60,step02图片链接!B:G,6,0))</f>
        <v/>
      </c>
      <c r="AK60" t="str">
        <f ca="1">IF(OR(B60="",VLOOKUP(BH60,step02图片链接!B:H,7,0)=""),"",VLOOKUP(BH60,step02图片链接!B:H,7,0))</f>
        <v/>
      </c>
      <c r="AL60" t="str">
        <f ca="1">IF(OR(B60="",VLOOKUP(BH60,step02图片链接!B:I,8,0)=""),"",VLOOKUP(BH60,step02图片链接!B:I,8,0))</f>
        <v/>
      </c>
      <c r="AM60" t="str">
        <f ca="1">IF(OR(B60="",VLOOKUP(BH60,step02图片链接!B:J,9,0)=""),"",VLOOKUP(BH60,step02图片链接!B:J,9,0))</f>
        <v/>
      </c>
      <c r="AN60" t="str">
        <f ca="1">IF(OR(B60="",VLOOKUP(BH60,step02图片链接!B:K,10,0)=""),"",VLOOKUP(BH60,step02图片链接!B:K,10,0))</f>
        <v/>
      </c>
      <c r="AO60" t="str">
        <f ca="1">IF(OR(B60="",VLOOKUP(BH60,step02图片链接!B:L,11,0)=""),"",VLOOKUP(BH60,step02图片链接!B:L,11,0))</f>
        <v/>
      </c>
      <c r="AP60" t="str">
        <f ca="1">IF(OR(B60="",VLOOKUP(BH60,step02图片链接!B:M,12,0)=""),"",VLOOKUP(BH60,step02图片链接!B:M,12,0))</f>
        <v/>
      </c>
      <c r="AQ60" t="str">
        <f ca="1">IF(OR(B60="",VLOOKUP(BH60,step02图片链接!B:N,13,0)=""),"",VLOOKUP(BH60,step02图片链接!B:N,13,0))</f>
        <v/>
      </c>
      <c r="AS60" t="str">
        <f ca="1" t="shared" si="44"/>
        <v/>
      </c>
      <c r="AT60" t="str">
        <f ca="1" t="shared" si="45"/>
        <v/>
      </c>
      <c r="AU60" t="str">
        <f ca="1" t="shared" si="29"/>
        <v/>
      </c>
      <c r="AV60" t="str">
        <f ca="1">IF(B60="","",step01标题尺码信息!$T$36)</f>
        <v/>
      </c>
      <c r="AZ60" t="str">
        <f ca="1">IF(B60="","",step01标题尺码信息!$S$41)</f>
        <v/>
      </c>
      <c r="BA60" t="str">
        <f ca="1">IF(B60="","",step01标题尺码信息!$S$43)</f>
        <v/>
      </c>
      <c r="BB60" t="str">
        <f ca="1">IF(B60="","",step01标题尺码信息!$S$45)</f>
        <v/>
      </c>
      <c r="BC60" t="str">
        <f ca="1">IF(B60="","",step01标题尺码信息!$S$47)</f>
        <v/>
      </c>
      <c r="BD60" t="str">
        <f ca="1">IF(B60="","",step01标题尺码信息!$S$49)</f>
        <v/>
      </c>
      <c r="BE60" t="str">
        <f ca="1">IF(B60="","",step01标题尺码信息!$S$53)</f>
        <v/>
      </c>
      <c r="BH60" t="str">
        <f ca="1">IF(B60="","",IF(DX60="Parent","",VLOOKUP(B60,step01标题尺码信息!G:P,7,0)))</f>
        <v/>
      </c>
      <c r="BI60" t="str">
        <f ca="1">IF(B60="","",IF(DX60="Parent","",VLOOKUP(B60,step01标题尺码信息!G:P,8,0)))</f>
        <v/>
      </c>
      <c r="BK60" t="str">
        <f ca="1" t="shared" si="30"/>
        <v/>
      </c>
      <c r="BL60" t="str">
        <f ca="1" t="shared" si="31"/>
        <v/>
      </c>
      <c r="BO60" t="str">
        <f ca="1" t="shared" si="32"/>
        <v/>
      </c>
      <c r="BR60" t="str">
        <f ca="1">IF(B60="","",IF(AS60="Parent","",VLOOKUP(B60,step01标题尺码信息!G:P,9,0)))</f>
        <v/>
      </c>
      <c r="CY60" t="str">
        <f ca="1" t="shared" si="33"/>
        <v/>
      </c>
      <c r="DG60" t="str">
        <f ca="1">IF(B60="","",step01标题尺码信息!$T$30)</f>
        <v/>
      </c>
      <c r="DH60" t="str">
        <f ca="1" t="shared" si="34"/>
        <v/>
      </c>
      <c r="DN60" t="str">
        <f ca="1" t="shared" si="35"/>
        <v/>
      </c>
      <c r="DW60" t="str">
        <f ca="1" t="shared" si="36"/>
        <v/>
      </c>
      <c r="ER60" t="str">
        <f ca="1">IF(B60="","",step01标题尺码信息!$T$37)</f>
        <v/>
      </c>
      <c r="ES60" t="str">
        <f ca="1" t="shared" si="37"/>
        <v/>
      </c>
      <c r="HF60" t="str">
        <f ca="1">IF(B60="","",step01标题尺码信息!$S$2)</f>
        <v/>
      </c>
      <c r="HH60" t="str">
        <f ca="1" t="shared" si="38"/>
        <v/>
      </c>
      <c r="HI60" t="str">
        <f ca="1" t="shared" si="39"/>
        <v/>
      </c>
      <c r="HL60" t="str">
        <f ca="1" t="shared" si="40"/>
        <v/>
      </c>
      <c r="IA60" t="str">
        <f ca="1" t="shared" si="41"/>
        <v/>
      </c>
    </row>
    <row r="61" spans="1:235">
      <c r="A61" t="str">
        <f ca="1">IF(B61="","",step01标题尺码信息!$B$3)</f>
        <v/>
      </c>
      <c r="B61" t="str">
        <f ca="1">IF(step01标题尺码信息!G63="","",step01标题尺码信息!G63)</f>
        <v/>
      </c>
      <c r="C61" t="str">
        <f ca="1">IF(B61="","",step01标题尺码信息!$E$3)</f>
        <v/>
      </c>
      <c r="D61" t="str">
        <f ca="1" t="shared" si="23"/>
        <v/>
      </c>
      <c r="E61" t="str">
        <f ca="1">IF(B61="","",VLOOKUP(B61,step01标题尺码信息!G:P,4,0))</f>
        <v/>
      </c>
      <c r="H61" t="str">
        <f ca="1">IF(B61="","",step01标题尺码信息!$R$19)</f>
        <v/>
      </c>
      <c r="I61" t="str">
        <f ca="1" t="shared" si="24"/>
        <v/>
      </c>
      <c r="M61" t="str">
        <f ca="1" t="shared" si="25"/>
        <v/>
      </c>
      <c r="U61" t="str">
        <f ca="1">IF(B61="","",step01标题尺码信息!$S$1)</f>
        <v/>
      </c>
      <c r="V61" t="str">
        <f ca="1" t="shared" si="26"/>
        <v/>
      </c>
      <c r="W61" t="str">
        <f ca="1">IF(B61="","",step01标题尺码信息!$V$1)</f>
        <v/>
      </c>
      <c r="X61" t="str">
        <f ca="1">IF(B61="","",step01标题尺码信息!$V$2)</f>
        <v/>
      </c>
      <c r="Y61" t="str">
        <f ca="1" t="shared" si="27"/>
        <v/>
      </c>
      <c r="Z61" t="str">
        <f ca="1" t="shared" si="28"/>
        <v/>
      </c>
      <c r="AA61" t="str">
        <f ca="1">IF(B61="","",IF(CB61="Parent","",VLOOKUP(B61,step01标题尺码信息!G:P,9,0)))</f>
        <v/>
      </c>
      <c r="AG61" t="str">
        <f ca="1" t="shared" si="42"/>
        <v/>
      </c>
      <c r="AH61" t="str">
        <f ca="1" t="shared" si="43"/>
        <v/>
      </c>
      <c r="AI61" t="str">
        <f ca="1">IF(OR(B61="",VLOOKUP(BH61,step02图片链接!B:E,4,0)=""),"",VLOOKUP(BH61,step02图片链接!B:E,4,0))</f>
        <v/>
      </c>
      <c r="AJ61" t="str">
        <f ca="1">IF(OR(B61="",VLOOKUP(BH61,step02图片链接!B:G,6,0)=""),"",VLOOKUP(BH61,step02图片链接!B:G,6,0))</f>
        <v/>
      </c>
      <c r="AK61" t="str">
        <f ca="1">IF(OR(B61="",VLOOKUP(BH61,step02图片链接!B:H,7,0)=""),"",VLOOKUP(BH61,step02图片链接!B:H,7,0))</f>
        <v/>
      </c>
      <c r="AL61" t="str">
        <f ca="1">IF(OR(B61="",VLOOKUP(BH61,step02图片链接!B:I,8,0)=""),"",VLOOKUP(BH61,step02图片链接!B:I,8,0))</f>
        <v/>
      </c>
      <c r="AM61" t="str">
        <f ca="1">IF(OR(B61="",VLOOKUP(BH61,step02图片链接!B:J,9,0)=""),"",VLOOKUP(BH61,step02图片链接!B:J,9,0))</f>
        <v/>
      </c>
      <c r="AN61" t="str">
        <f ca="1">IF(OR(B61="",VLOOKUP(BH61,step02图片链接!B:K,10,0)=""),"",VLOOKUP(BH61,step02图片链接!B:K,10,0))</f>
        <v/>
      </c>
      <c r="AO61" t="str">
        <f ca="1">IF(OR(B61="",VLOOKUP(BH61,step02图片链接!B:L,11,0)=""),"",VLOOKUP(BH61,step02图片链接!B:L,11,0))</f>
        <v/>
      </c>
      <c r="AP61" t="str">
        <f ca="1">IF(OR(B61="",VLOOKUP(BH61,step02图片链接!B:M,12,0)=""),"",VLOOKUP(BH61,step02图片链接!B:M,12,0))</f>
        <v/>
      </c>
      <c r="AQ61" t="str">
        <f ca="1">IF(OR(B61="",VLOOKUP(BH61,step02图片链接!B:N,13,0)=""),"",VLOOKUP(BH61,step02图片链接!B:N,13,0))</f>
        <v/>
      </c>
      <c r="AS61" t="str">
        <f ca="1" t="shared" si="44"/>
        <v/>
      </c>
      <c r="AT61" t="str">
        <f ca="1" t="shared" si="45"/>
        <v/>
      </c>
      <c r="AU61" t="str">
        <f ca="1" t="shared" si="29"/>
        <v/>
      </c>
      <c r="AV61" t="str">
        <f ca="1">IF(B61="","",step01标题尺码信息!$T$36)</f>
        <v/>
      </c>
      <c r="AZ61" t="str">
        <f ca="1">IF(B61="","",step01标题尺码信息!$S$41)</f>
        <v/>
      </c>
      <c r="BA61" t="str">
        <f ca="1">IF(B61="","",step01标题尺码信息!$S$43)</f>
        <v/>
      </c>
      <c r="BB61" t="str">
        <f ca="1">IF(B61="","",step01标题尺码信息!$S$45)</f>
        <v/>
      </c>
      <c r="BC61" t="str">
        <f ca="1">IF(B61="","",step01标题尺码信息!$S$47)</f>
        <v/>
      </c>
      <c r="BD61" t="str">
        <f ca="1">IF(B61="","",step01标题尺码信息!$S$49)</f>
        <v/>
      </c>
      <c r="BE61" t="str">
        <f ca="1">IF(B61="","",step01标题尺码信息!$S$53)</f>
        <v/>
      </c>
      <c r="BH61" t="str">
        <f ca="1">IF(B61="","",IF(DX61="Parent","",VLOOKUP(B61,step01标题尺码信息!G:P,7,0)))</f>
        <v/>
      </c>
      <c r="BI61" t="str">
        <f ca="1">IF(B61="","",IF(DX61="Parent","",VLOOKUP(B61,step01标题尺码信息!G:P,8,0)))</f>
        <v/>
      </c>
      <c r="BK61" t="str">
        <f ca="1" t="shared" si="30"/>
        <v/>
      </c>
      <c r="BL61" t="str">
        <f ca="1" t="shared" si="31"/>
        <v/>
      </c>
      <c r="BO61" t="str">
        <f ca="1" t="shared" si="32"/>
        <v/>
      </c>
      <c r="BR61" t="str">
        <f ca="1">IF(B61="","",IF(AS61="Parent","",VLOOKUP(B61,step01标题尺码信息!G:P,9,0)))</f>
        <v/>
      </c>
      <c r="CY61" t="str">
        <f ca="1" t="shared" si="33"/>
        <v/>
      </c>
      <c r="DG61" t="str">
        <f ca="1">IF(B61="","",step01标题尺码信息!$T$30)</f>
        <v/>
      </c>
      <c r="DH61" t="str">
        <f ca="1" t="shared" si="34"/>
        <v/>
      </c>
      <c r="DN61" t="str">
        <f ca="1" t="shared" si="35"/>
        <v/>
      </c>
      <c r="DW61" t="str">
        <f ca="1" t="shared" si="36"/>
        <v/>
      </c>
      <c r="ER61" t="str">
        <f ca="1">IF(B61="","",step01标题尺码信息!$T$37)</f>
        <v/>
      </c>
      <c r="ES61" t="str">
        <f ca="1" t="shared" si="37"/>
        <v/>
      </c>
      <c r="HF61" t="str">
        <f ca="1">IF(B61="","",step01标题尺码信息!$S$2)</f>
        <v/>
      </c>
      <c r="HH61" t="str">
        <f ca="1" t="shared" si="38"/>
        <v/>
      </c>
      <c r="HI61" t="str">
        <f ca="1" t="shared" si="39"/>
        <v/>
      </c>
      <c r="HL61" t="str">
        <f ca="1" t="shared" si="40"/>
        <v/>
      </c>
      <c r="IA61" t="str">
        <f ca="1" t="shared" si="41"/>
        <v/>
      </c>
    </row>
    <row r="62" spans="1:235">
      <c r="A62" t="str">
        <f ca="1">IF(B62="","",step01标题尺码信息!$B$3)</f>
        <v/>
      </c>
      <c r="B62" t="str">
        <f ca="1">IF(step01标题尺码信息!G64="","",step01标题尺码信息!G64)</f>
        <v/>
      </c>
      <c r="C62" t="str">
        <f ca="1">IF(B62="","",step01标题尺码信息!$E$3)</f>
        <v/>
      </c>
      <c r="D62" t="str">
        <f ca="1" t="shared" si="23"/>
        <v/>
      </c>
      <c r="E62" t="str">
        <f ca="1">IF(B62="","",VLOOKUP(B62,step01标题尺码信息!G:P,4,0))</f>
        <v/>
      </c>
      <c r="H62" t="str">
        <f ca="1">IF(B62="","",step01标题尺码信息!$R$19)</f>
        <v/>
      </c>
      <c r="I62" t="str">
        <f ca="1" t="shared" si="24"/>
        <v/>
      </c>
      <c r="M62" t="str">
        <f ca="1" t="shared" si="25"/>
        <v/>
      </c>
      <c r="U62" t="str">
        <f ca="1">IF(B62="","",step01标题尺码信息!$S$1)</f>
        <v/>
      </c>
      <c r="V62" t="str">
        <f ca="1" t="shared" si="26"/>
        <v/>
      </c>
      <c r="W62" t="str">
        <f ca="1">IF(B62="","",step01标题尺码信息!$V$1)</f>
        <v/>
      </c>
      <c r="X62" t="str">
        <f ca="1">IF(B62="","",step01标题尺码信息!$V$2)</f>
        <v/>
      </c>
      <c r="Y62" t="str">
        <f ca="1" t="shared" si="27"/>
        <v/>
      </c>
      <c r="Z62" t="str">
        <f ca="1" t="shared" si="28"/>
        <v/>
      </c>
      <c r="AA62" t="str">
        <f ca="1">IF(B62="","",IF(CB62="Parent","",VLOOKUP(B62,step01标题尺码信息!G:P,9,0)))</f>
        <v/>
      </c>
      <c r="AG62" t="str">
        <f ca="1" t="shared" si="42"/>
        <v/>
      </c>
      <c r="AH62" t="str">
        <f ca="1" t="shared" si="43"/>
        <v/>
      </c>
      <c r="AI62" t="str">
        <f ca="1">IF(OR(B62="",VLOOKUP(BH62,step02图片链接!B:E,4,0)=""),"",VLOOKUP(BH62,step02图片链接!B:E,4,0))</f>
        <v/>
      </c>
      <c r="AJ62" t="str">
        <f ca="1">IF(OR(B62="",VLOOKUP(BH62,step02图片链接!B:G,6,0)=""),"",VLOOKUP(BH62,step02图片链接!B:G,6,0))</f>
        <v/>
      </c>
      <c r="AK62" t="str">
        <f ca="1">IF(OR(B62="",VLOOKUP(BH62,step02图片链接!B:H,7,0)=""),"",VLOOKUP(BH62,step02图片链接!B:H,7,0))</f>
        <v/>
      </c>
      <c r="AL62" t="str">
        <f ca="1">IF(OR(B62="",VLOOKUP(BH62,step02图片链接!B:I,8,0)=""),"",VLOOKUP(BH62,step02图片链接!B:I,8,0))</f>
        <v/>
      </c>
      <c r="AM62" t="str">
        <f ca="1">IF(OR(B62="",VLOOKUP(BH62,step02图片链接!B:J,9,0)=""),"",VLOOKUP(BH62,step02图片链接!B:J,9,0))</f>
        <v/>
      </c>
      <c r="AN62" t="str">
        <f ca="1">IF(OR(B62="",VLOOKUP(BH62,step02图片链接!B:K,10,0)=""),"",VLOOKUP(BH62,step02图片链接!B:K,10,0))</f>
        <v/>
      </c>
      <c r="AO62" t="str">
        <f ca="1">IF(OR(B62="",VLOOKUP(BH62,step02图片链接!B:L,11,0)=""),"",VLOOKUP(BH62,step02图片链接!B:L,11,0))</f>
        <v/>
      </c>
      <c r="AP62" t="str">
        <f ca="1">IF(OR(B62="",VLOOKUP(BH62,step02图片链接!B:M,12,0)=""),"",VLOOKUP(BH62,step02图片链接!B:M,12,0))</f>
        <v/>
      </c>
      <c r="AQ62" t="str">
        <f ca="1">IF(OR(B62="",VLOOKUP(BH62,step02图片链接!B:N,13,0)=""),"",VLOOKUP(BH62,step02图片链接!B:N,13,0))</f>
        <v/>
      </c>
      <c r="AS62" t="str">
        <f ca="1" t="shared" si="44"/>
        <v/>
      </c>
      <c r="AT62" t="str">
        <f ca="1" t="shared" si="45"/>
        <v/>
      </c>
      <c r="AU62" t="str">
        <f ca="1" t="shared" si="29"/>
        <v/>
      </c>
      <c r="AV62" t="str">
        <f ca="1">IF(B62="","",step01标题尺码信息!$T$36)</f>
        <v/>
      </c>
      <c r="AZ62" t="str">
        <f ca="1">IF(B62="","",step01标题尺码信息!$S$41)</f>
        <v/>
      </c>
      <c r="BA62" t="str">
        <f ca="1">IF(B62="","",step01标题尺码信息!$S$43)</f>
        <v/>
      </c>
      <c r="BB62" t="str">
        <f ca="1">IF(B62="","",step01标题尺码信息!$S$45)</f>
        <v/>
      </c>
      <c r="BC62" t="str">
        <f ca="1">IF(B62="","",step01标题尺码信息!$S$47)</f>
        <v/>
      </c>
      <c r="BD62" t="str">
        <f ca="1">IF(B62="","",step01标题尺码信息!$S$49)</f>
        <v/>
      </c>
      <c r="BE62" t="str">
        <f ca="1">IF(B62="","",step01标题尺码信息!$S$53)</f>
        <v/>
      </c>
      <c r="BH62" t="str">
        <f ca="1">IF(B62="","",IF(DX62="Parent","",VLOOKUP(B62,step01标题尺码信息!G:P,7,0)))</f>
        <v/>
      </c>
      <c r="BI62" t="str">
        <f ca="1">IF(B62="","",IF(DX62="Parent","",VLOOKUP(B62,step01标题尺码信息!G:P,8,0)))</f>
        <v/>
      </c>
      <c r="BK62" t="str">
        <f ca="1" t="shared" si="30"/>
        <v/>
      </c>
      <c r="BL62" t="str">
        <f ca="1" t="shared" si="31"/>
        <v/>
      </c>
      <c r="BO62" t="str">
        <f ca="1" t="shared" si="32"/>
        <v/>
      </c>
      <c r="BR62" t="str">
        <f ca="1">IF(B62="","",IF(AS62="Parent","",VLOOKUP(B62,step01标题尺码信息!G:P,9,0)))</f>
        <v/>
      </c>
      <c r="CY62" t="str">
        <f ca="1" t="shared" si="33"/>
        <v/>
      </c>
      <c r="DG62" t="str">
        <f ca="1">IF(B62="","",step01标题尺码信息!$T$30)</f>
        <v/>
      </c>
      <c r="DH62" t="str">
        <f ca="1" t="shared" si="34"/>
        <v/>
      </c>
      <c r="DN62" t="str">
        <f ca="1" t="shared" si="35"/>
        <v/>
      </c>
      <c r="DW62" t="str">
        <f ca="1" t="shared" si="36"/>
        <v/>
      </c>
      <c r="ER62" t="str">
        <f ca="1">IF(B62="","",step01标题尺码信息!$T$37)</f>
        <v/>
      </c>
      <c r="ES62" t="str">
        <f ca="1" t="shared" si="37"/>
        <v/>
      </c>
      <c r="HF62" t="str">
        <f ca="1">IF(B62="","",step01标题尺码信息!$S$2)</f>
        <v/>
      </c>
      <c r="HH62" t="str">
        <f ca="1" t="shared" si="38"/>
        <v/>
      </c>
      <c r="HI62" t="str">
        <f ca="1" t="shared" si="39"/>
        <v/>
      </c>
      <c r="HL62" t="str">
        <f ca="1" t="shared" si="40"/>
        <v/>
      </c>
      <c r="IA62" t="str">
        <f ca="1" t="shared" si="41"/>
        <v/>
      </c>
    </row>
    <row r="63" spans="1:235">
      <c r="A63" t="str">
        <f ca="1">IF(B63="","",step01标题尺码信息!$B$3)</f>
        <v/>
      </c>
      <c r="B63" t="str">
        <f ca="1">IF(step01标题尺码信息!G65="","",step01标题尺码信息!G65)</f>
        <v/>
      </c>
      <c r="C63" t="str">
        <f ca="1">IF(B63="","",step01标题尺码信息!$E$3)</f>
        <v/>
      </c>
      <c r="D63" t="str">
        <f ca="1" t="shared" si="23"/>
        <v/>
      </c>
      <c r="E63" t="str">
        <f ca="1">IF(B63="","",VLOOKUP(B63,step01标题尺码信息!G:P,4,0))</f>
        <v/>
      </c>
      <c r="H63" t="str">
        <f ca="1">IF(B63="","",step01标题尺码信息!$R$19)</f>
        <v/>
      </c>
      <c r="I63" t="str">
        <f ca="1" t="shared" si="24"/>
        <v/>
      </c>
      <c r="M63" t="str">
        <f ca="1" t="shared" si="25"/>
        <v/>
      </c>
      <c r="U63" t="str">
        <f ca="1">IF(B63="","",step01标题尺码信息!$S$1)</f>
        <v/>
      </c>
      <c r="V63" t="str">
        <f ca="1" t="shared" si="26"/>
        <v/>
      </c>
      <c r="W63" t="str">
        <f ca="1">IF(B63="","",step01标题尺码信息!$V$1)</f>
        <v/>
      </c>
      <c r="X63" t="str">
        <f ca="1">IF(B63="","",step01标题尺码信息!$V$2)</f>
        <v/>
      </c>
      <c r="Y63" t="str">
        <f ca="1" t="shared" si="27"/>
        <v/>
      </c>
      <c r="Z63" t="str">
        <f ca="1" t="shared" si="28"/>
        <v/>
      </c>
      <c r="AA63" t="str">
        <f ca="1">IF(B63="","",IF(CB63="Parent","",VLOOKUP(B63,step01标题尺码信息!G:P,9,0)))</f>
        <v/>
      </c>
      <c r="AG63" t="str">
        <f ca="1" t="shared" si="42"/>
        <v/>
      </c>
      <c r="AH63" t="str">
        <f ca="1" t="shared" si="43"/>
        <v/>
      </c>
      <c r="AI63" t="str">
        <f ca="1">IF(OR(B63="",VLOOKUP(BH63,step02图片链接!B:E,4,0)=""),"",VLOOKUP(BH63,step02图片链接!B:E,4,0))</f>
        <v/>
      </c>
      <c r="AJ63" t="str">
        <f ca="1">IF(OR(B63="",VLOOKUP(BH63,step02图片链接!B:G,6,0)=""),"",VLOOKUP(BH63,step02图片链接!B:G,6,0))</f>
        <v/>
      </c>
      <c r="AK63" t="str">
        <f ca="1">IF(OR(B63="",VLOOKUP(BH63,step02图片链接!B:H,7,0)=""),"",VLOOKUP(BH63,step02图片链接!B:H,7,0))</f>
        <v/>
      </c>
      <c r="AL63" t="str">
        <f ca="1">IF(OR(B63="",VLOOKUP(BH63,step02图片链接!B:I,8,0)=""),"",VLOOKUP(BH63,step02图片链接!B:I,8,0))</f>
        <v/>
      </c>
      <c r="AM63" t="str">
        <f ca="1">IF(OR(B63="",VLOOKUP(BH63,step02图片链接!B:J,9,0)=""),"",VLOOKUP(BH63,step02图片链接!B:J,9,0))</f>
        <v/>
      </c>
      <c r="AN63" t="str">
        <f ca="1">IF(OR(B63="",VLOOKUP(BH63,step02图片链接!B:K,10,0)=""),"",VLOOKUP(BH63,step02图片链接!B:K,10,0))</f>
        <v/>
      </c>
      <c r="AO63" t="str">
        <f ca="1">IF(OR(B63="",VLOOKUP(BH63,step02图片链接!B:L,11,0)=""),"",VLOOKUP(BH63,step02图片链接!B:L,11,0))</f>
        <v/>
      </c>
      <c r="AP63" t="str">
        <f ca="1">IF(OR(B63="",VLOOKUP(BH63,step02图片链接!B:M,12,0)=""),"",VLOOKUP(BH63,step02图片链接!B:M,12,0))</f>
        <v/>
      </c>
      <c r="AQ63" t="str">
        <f ca="1">IF(OR(B63="",VLOOKUP(BH63,step02图片链接!B:N,13,0)=""),"",VLOOKUP(BH63,step02图片链接!B:N,13,0))</f>
        <v/>
      </c>
      <c r="AS63" t="str">
        <f ca="1" t="shared" si="44"/>
        <v/>
      </c>
      <c r="AT63" t="str">
        <f ca="1" t="shared" si="45"/>
        <v/>
      </c>
      <c r="AU63" t="str">
        <f ca="1" t="shared" si="29"/>
        <v/>
      </c>
      <c r="AV63" t="str">
        <f ca="1">IF(B63="","",step01标题尺码信息!$T$36)</f>
        <v/>
      </c>
      <c r="AZ63" t="str">
        <f ca="1">IF(B63="","",step01标题尺码信息!$S$41)</f>
        <v/>
      </c>
      <c r="BA63" t="str">
        <f ca="1">IF(B63="","",step01标题尺码信息!$S$43)</f>
        <v/>
      </c>
      <c r="BB63" t="str">
        <f ca="1">IF(B63="","",step01标题尺码信息!$S$45)</f>
        <v/>
      </c>
      <c r="BC63" t="str">
        <f ca="1">IF(B63="","",step01标题尺码信息!$S$47)</f>
        <v/>
      </c>
      <c r="BD63" t="str">
        <f ca="1">IF(B63="","",step01标题尺码信息!$S$49)</f>
        <v/>
      </c>
      <c r="BE63" t="str">
        <f ca="1">IF(B63="","",step01标题尺码信息!$S$53)</f>
        <v/>
      </c>
      <c r="BH63" t="str">
        <f ca="1">IF(B63="","",IF(DX63="Parent","",VLOOKUP(B63,step01标题尺码信息!G:P,7,0)))</f>
        <v/>
      </c>
      <c r="BI63" t="str">
        <f ca="1">IF(B63="","",IF(DX63="Parent","",VLOOKUP(B63,step01标题尺码信息!G:P,8,0)))</f>
        <v/>
      </c>
      <c r="BK63" t="str">
        <f ca="1" t="shared" si="30"/>
        <v/>
      </c>
      <c r="BL63" t="str">
        <f ca="1" t="shared" si="31"/>
        <v/>
      </c>
      <c r="BO63" t="str">
        <f ca="1" t="shared" si="32"/>
        <v/>
      </c>
      <c r="BR63" t="str">
        <f ca="1">IF(B63="","",IF(AS63="Parent","",VLOOKUP(B63,step01标题尺码信息!G:P,9,0)))</f>
        <v/>
      </c>
      <c r="CY63" t="str">
        <f ca="1" t="shared" si="33"/>
        <v/>
      </c>
      <c r="DG63" t="str">
        <f ca="1">IF(B63="","",step01标题尺码信息!$T$30)</f>
        <v/>
      </c>
      <c r="DH63" t="str">
        <f ca="1" t="shared" si="34"/>
        <v/>
      </c>
      <c r="DN63" t="str">
        <f ca="1" t="shared" si="35"/>
        <v/>
      </c>
      <c r="DW63" t="str">
        <f ca="1" t="shared" si="36"/>
        <v/>
      </c>
      <c r="ER63" t="str">
        <f ca="1">IF(B63="","",step01标题尺码信息!$T$37)</f>
        <v/>
      </c>
      <c r="ES63" t="str">
        <f ca="1" t="shared" si="37"/>
        <v/>
      </c>
      <c r="HF63" t="str">
        <f ca="1">IF(B63="","",step01标题尺码信息!$S$2)</f>
        <v/>
      </c>
      <c r="HH63" t="str">
        <f ca="1" t="shared" si="38"/>
        <v/>
      </c>
      <c r="HI63" t="str">
        <f ca="1" t="shared" si="39"/>
        <v/>
      </c>
      <c r="HL63" t="str">
        <f ca="1" t="shared" si="40"/>
        <v/>
      </c>
      <c r="IA63" t="str">
        <f ca="1" t="shared" si="41"/>
        <v/>
      </c>
    </row>
    <row r="64" spans="1:235">
      <c r="A64" t="str">
        <f ca="1">IF(B64="","",step01标题尺码信息!$B$3)</f>
        <v/>
      </c>
      <c r="B64" t="str">
        <f ca="1">IF(step01标题尺码信息!G66="","",step01标题尺码信息!G66)</f>
        <v/>
      </c>
      <c r="C64" t="str">
        <f ca="1">IF(B64="","",step01标题尺码信息!$E$3)</f>
        <v/>
      </c>
      <c r="D64" t="str">
        <f ca="1" t="shared" si="23"/>
        <v/>
      </c>
      <c r="E64" t="str">
        <f ca="1">IF(B64="","",VLOOKUP(B64,step01标题尺码信息!G:P,4,0))</f>
        <v/>
      </c>
      <c r="H64" t="str">
        <f ca="1">IF(B64="","",step01标题尺码信息!$R$19)</f>
        <v/>
      </c>
      <c r="I64" t="str">
        <f ca="1" t="shared" si="24"/>
        <v/>
      </c>
      <c r="M64" t="str">
        <f ca="1" t="shared" si="25"/>
        <v/>
      </c>
      <c r="U64" t="str">
        <f ca="1">IF(B64="","",step01标题尺码信息!$S$1)</f>
        <v/>
      </c>
      <c r="V64" t="str">
        <f ca="1" t="shared" si="26"/>
        <v/>
      </c>
      <c r="W64" t="str">
        <f ca="1">IF(B64="","",step01标题尺码信息!$V$1)</f>
        <v/>
      </c>
      <c r="X64" t="str">
        <f ca="1">IF(B64="","",step01标题尺码信息!$V$2)</f>
        <v/>
      </c>
      <c r="Y64" t="str">
        <f ca="1" t="shared" si="27"/>
        <v/>
      </c>
      <c r="Z64" t="str">
        <f ca="1" t="shared" si="28"/>
        <v/>
      </c>
      <c r="AA64" t="str">
        <f ca="1">IF(B64="","",IF(CB64="Parent","",VLOOKUP(B64,step01标题尺码信息!G:P,9,0)))</f>
        <v/>
      </c>
      <c r="AG64" t="str">
        <f ca="1" t="shared" si="42"/>
        <v/>
      </c>
      <c r="AH64" t="str">
        <f ca="1" t="shared" si="43"/>
        <v/>
      </c>
      <c r="AI64" t="str">
        <f ca="1">IF(OR(B64="",VLOOKUP(BH64,step02图片链接!B:E,4,0)=""),"",VLOOKUP(BH64,step02图片链接!B:E,4,0))</f>
        <v/>
      </c>
      <c r="AJ64" t="str">
        <f ca="1">IF(OR(B64="",VLOOKUP(BH64,step02图片链接!B:G,6,0)=""),"",VLOOKUP(BH64,step02图片链接!B:G,6,0))</f>
        <v/>
      </c>
      <c r="AK64" t="str">
        <f ca="1">IF(OR(B64="",VLOOKUP(BH64,step02图片链接!B:H,7,0)=""),"",VLOOKUP(BH64,step02图片链接!B:H,7,0))</f>
        <v/>
      </c>
      <c r="AL64" t="str">
        <f ca="1">IF(OR(B64="",VLOOKUP(BH64,step02图片链接!B:I,8,0)=""),"",VLOOKUP(BH64,step02图片链接!B:I,8,0))</f>
        <v/>
      </c>
      <c r="AM64" t="str">
        <f ca="1">IF(OR(B64="",VLOOKUP(BH64,step02图片链接!B:J,9,0)=""),"",VLOOKUP(BH64,step02图片链接!B:J,9,0))</f>
        <v/>
      </c>
      <c r="AN64" t="str">
        <f ca="1">IF(OR(B64="",VLOOKUP(BH64,step02图片链接!B:K,10,0)=""),"",VLOOKUP(BH64,step02图片链接!B:K,10,0))</f>
        <v/>
      </c>
      <c r="AO64" t="str">
        <f ca="1">IF(OR(B64="",VLOOKUP(BH64,step02图片链接!B:L,11,0)=""),"",VLOOKUP(BH64,step02图片链接!B:L,11,0))</f>
        <v/>
      </c>
      <c r="AP64" t="str">
        <f ca="1">IF(OR(B64="",VLOOKUP(BH64,step02图片链接!B:M,12,0)=""),"",VLOOKUP(BH64,step02图片链接!B:M,12,0))</f>
        <v/>
      </c>
      <c r="AQ64" t="str">
        <f ca="1">IF(OR(B64="",VLOOKUP(BH64,step02图片链接!B:N,13,0)=""),"",VLOOKUP(BH64,step02图片链接!B:N,13,0))</f>
        <v/>
      </c>
      <c r="AS64" t="str">
        <f ca="1" t="shared" si="44"/>
        <v/>
      </c>
      <c r="AT64" t="str">
        <f ca="1" t="shared" si="45"/>
        <v/>
      </c>
      <c r="AU64" t="str">
        <f ca="1" t="shared" si="29"/>
        <v/>
      </c>
      <c r="AV64" t="str">
        <f ca="1">IF(B64="","",step01标题尺码信息!$T$36)</f>
        <v/>
      </c>
      <c r="AZ64" t="str">
        <f ca="1">IF(B64="","",step01标题尺码信息!$S$41)</f>
        <v/>
      </c>
      <c r="BA64" t="str">
        <f ca="1">IF(B64="","",step01标题尺码信息!$S$43)</f>
        <v/>
      </c>
      <c r="BB64" t="str">
        <f ca="1">IF(B64="","",step01标题尺码信息!$S$45)</f>
        <v/>
      </c>
      <c r="BC64" t="str">
        <f ca="1">IF(B64="","",step01标题尺码信息!$S$47)</f>
        <v/>
      </c>
      <c r="BD64" t="str">
        <f ca="1">IF(B64="","",step01标题尺码信息!$S$49)</f>
        <v/>
      </c>
      <c r="BE64" t="str">
        <f ca="1">IF(B64="","",step01标题尺码信息!$S$53)</f>
        <v/>
      </c>
      <c r="BH64" t="str">
        <f ca="1">IF(B64="","",IF(DX64="Parent","",VLOOKUP(B64,step01标题尺码信息!G:P,7,0)))</f>
        <v/>
      </c>
      <c r="BI64" t="str">
        <f ca="1">IF(B64="","",IF(DX64="Parent","",VLOOKUP(B64,step01标题尺码信息!G:P,8,0)))</f>
        <v/>
      </c>
      <c r="BK64" t="str">
        <f ca="1" t="shared" si="30"/>
        <v/>
      </c>
      <c r="BL64" t="str">
        <f ca="1" t="shared" si="31"/>
        <v/>
      </c>
      <c r="BO64" t="str">
        <f ca="1" t="shared" si="32"/>
        <v/>
      </c>
      <c r="BR64" t="str">
        <f ca="1">IF(B64="","",IF(AS64="Parent","",VLOOKUP(B64,step01标题尺码信息!G:P,9,0)))</f>
        <v/>
      </c>
      <c r="CY64" t="str">
        <f ca="1" t="shared" si="33"/>
        <v/>
      </c>
      <c r="DG64" t="str">
        <f ca="1">IF(B64="","",step01标题尺码信息!$T$30)</f>
        <v/>
      </c>
      <c r="DH64" t="str">
        <f ca="1" t="shared" si="34"/>
        <v/>
      </c>
      <c r="DN64" t="str">
        <f ca="1" t="shared" si="35"/>
        <v/>
      </c>
      <c r="DW64" t="str">
        <f ca="1" t="shared" si="36"/>
        <v/>
      </c>
      <c r="ER64" t="str">
        <f ca="1">IF(B64="","",step01标题尺码信息!$T$37)</f>
        <v/>
      </c>
      <c r="ES64" t="str">
        <f ca="1" t="shared" si="37"/>
        <v/>
      </c>
      <c r="HF64" t="str">
        <f ca="1">IF(B64="","",step01标题尺码信息!$S$2)</f>
        <v/>
      </c>
      <c r="HH64" t="str">
        <f ca="1" t="shared" si="38"/>
        <v/>
      </c>
      <c r="HI64" t="str">
        <f ca="1" t="shared" si="39"/>
        <v/>
      </c>
      <c r="HL64" t="str">
        <f ca="1" t="shared" si="40"/>
        <v/>
      </c>
      <c r="IA64" t="str">
        <f ca="1" t="shared" si="41"/>
        <v/>
      </c>
    </row>
    <row r="65" spans="1:235">
      <c r="A65" t="str">
        <f ca="1">IF(B65="","",step01标题尺码信息!$B$3)</f>
        <v/>
      </c>
      <c r="B65" t="str">
        <f ca="1">IF(step01标题尺码信息!G67="","",step01标题尺码信息!G67)</f>
        <v/>
      </c>
      <c r="C65" t="str">
        <f ca="1">IF(B65="","",step01标题尺码信息!$E$3)</f>
        <v/>
      </c>
      <c r="D65" t="str">
        <f ca="1" t="shared" si="23"/>
        <v/>
      </c>
      <c r="E65" t="str">
        <f ca="1">IF(B65="","",VLOOKUP(B65,step01标题尺码信息!G:P,4,0))</f>
        <v/>
      </c>
      <c r="H65" t="str">
        <f ca="1">IF(B65="","",step01标题尺码信息!$R$19)</f>
        <v/>
      </c>
      <c r="I65" t="str">
        <f ca="1" t="shared" si="24"/>
        <v/>
      </c>
      <c r="M65" t="str">
        <f ca="1" t="shared" si="25"/>
        <v/>
      </c>
      <c r="U65" t="str">
        <f ca="1">IF(B65="","",step01标题尺码信息!$S$1)</f>
        <v/>
      </c>
      <c r="V65" t="str">
        <f ca="1" t="shared" si="26"/>
        <v/>
      </c>
      <c r="W65" t="str">
        <f ca="1">IF(B65="","",step01标题尺码信息!$V$1)</f>
        <v/>
      </c>
      <c r="X65" t="str">
        <f ca="1">IF(B65="","",step01标题尺码信息!$V$2)</f>
        <v/>
      </c>
      <c r="Y65" t="str">
        <f ca="1" t="shared" si="27"/>
        <v/>
      </c>
      <c r="Z65" t="str">
        <f ca="1" t="shared" si="28"/>
        <v/>
      </c>
      <c r="AA65" t="str">
        <f ca="1">IF(B65="","",IF(CB65="Parent","",VLOOKUP(B65,step01标题尺码信息!G:P,9,0)))</f>
        <v/>
      </c>
      <c r="AG65" t="str">
        <f ca="1" t="shared" si="42"/>
        <v/>
      </c>
      <c r="AH65" t="str">
        <f ca="1" t="shared" si="43"/>
        <v/>
      </c>
      <c r="AI65" t="str">
        <f ca="1">IF(OR(B65="",VLOOKUP(BH65,step02图片链接!B:E,4,0)=""),"",VLOOKUP(BH65,step02图片链接!B:E,4,0))</f>
        <v/>
      </c>
      <c r="AJ65" t="str">
        <f ca="1">IF(OR(B65="",VLOOKUP(BH65,step02图片链接!B:G,6,0)=""),"",VLOOKUP(BH65,step02图片链接!B:G,6,0))</f>
        <v/>
      </c>
      <c r="AK65" t="str">
        <f ca="1">IF(OR(B65="",VLOOKUP(BH65,step02图片链接!B:H,7,0)=""),"",VLOOKUP(BH65,step02图片链接!B:H,7,0))</f>
        <v/>
      </c>
      <c r="AL65" t="str">
        <f ca="1">IF(OR(B65="",VLOOKUP(BH65,step02图片链接!B:I,8,0)=""),"",VLOOKUP(BH65,step02图片链接!B:I,8,0))</f>
        <v/>
      </c>
      <c r="AM65" t="str">
        <f ca="1">IF(OR(B65="",VLOOKUP(BH65,step02图片链接!B:J,9,0)=""),"",VLOOKUP(BH65,step02图片链接!B:J,9,0))</f>
        <v/>
      </c>
      <c r="AN65" t="str">
        <f ca="1">IF(OR(B65="",VLOOKUP(BH65,step02图片链接!B:K,10,0)=""),"",VLOOKUP(BH65,step02图片链接!B:K,10,0))</f>
        <v/>
      </c>
      <c r="AO65" t="str">
        <f ca="1">IF(OR(B65="",VLOOKUP(BH65,step02图片链接!B:L,11,0)=""),"",VLOOKUP(BH65,step02图片链接!B:L,11,0))</f>
        <v/>
      </c>
      <c r="AP65" t="str">
        <f ca="1">IF(OR(B65="",VLOOKUP(BH65,step02图片链接!B:M,12,0)=""),"",VLOOKUP(BH65,step02图片链接!B:M,12,0))</f>
        <v/>
      </c>
      <c r="AQ65" t="str">
        <f ca="1">IF(OR(B65="",VLOOKUP(BH65,step02图片链接!B:N,13,0)=""),"",VLOOKUP(BH65,step02图片链接!B:N,13,0))</f>
        <v/>
      </c>
      <c r="AS65" t="str">
        <f ca="1" t="shared" si="44"/>
        <v/>
      </c>
      <c r="AT65" t="str">
        <f ca="1" t="shared" si="45"/>
        <v/>
      </c>
      <c r="AU65" t="str">
        <f ca="1" t="shared" si="29"/>
        <v/>
      </c>
      <c r="AV65" t="str">
        <f ca="1">IF(B65="","",step01标题尺码信息!$T$36)</f>
        <v/>
      </c>
      <c r="AZ65" t="str">
        <f ca="1">IF(B65="","",step01标题尺码信息!$S$41)</f>
        <v/>
      </c>
      <c r="BA65" t="str">
        <f ca="1">IF(B65="","",step01标题尺码信息!$S$43)</f>
        <v/>
      </c>
      <c r="BB65" t="str">
        <f ca="1">IF(B65="","",step01标题尺码信息!$S$45)</f>
        <v/>
      </c>
      <c r="BC65" t="str">
        <f ca="1">IF(B65="","",step01标题尺码信息!$S$47)</f>
        <v/>
      </c>
      <c r="BD65" t="str">
        <f ca="1">IF(B65="","",step01标题尺码信息!$S$49)</f>
        <v/>
      </c>
      <c r="BE65" t="str">
        <f ca="1">IF(B65="","",step01标题尺码信息!$S$53)</f>
        <v/>
      </c>
      <c r="BH65" t="str">
        <f ca="1">IF(B65="","",IF(DX65="Parent","",VLOOKUP(B65,step01标题尺码信息!G:P,7,0)))</f>
        <v/>
      </c>
      <c r="BI65" t="str">
        <f ca="1">IF(B65="","",IF(DX65="Parent","",VLOOKUP(B65,step01标题尺码信息!G:P,8,0)))</f>
        <v/>
      </c>
      <c r="BK65" t="str">
        <f ca="1" t="shared" si="30"/>
        <v/>
      </c>
      <c r="BL65" t="str">
        <f ca="1" t="shared" si="31"/>
        <v/>
      </c>
      <c r="BO65" t="str">
        <f ca="1" t="shared" si="32"/>
        <v/>
      </c>
      <c r="BR65" t="str">
        <f ca="1">IF(B65="","",IF(AS65="Parent","",VLOOKUP(B65,step01标题尺码信息!G:P,9,0)))</f>
        <v/>
      </c>
      <c r="CY65" t="str">
        <f ca="1" t="shared" si="33"/>
        <v/>
      </c>
      <c r="DG65" t="str">
        <f ca="1">IF(B65="","",step01标题尺码信息!$T$30)</f>
        <v/>
      </c>
      <c r="DH65" t="str">
        <f ca="1" t="shared" si="34"/>
        <v/>
      </c>
      <c r="DN65" t="str">
        <f ca="1" t="shared" si="35"/>
        <v/>
      </c>
      <c r="DW65" t="str">
        <f ca="1" t="shared" si="36"/>
        <v/>
      </c>
      <c r="ER65" t="str">
        <f ca="1">IF(B65="","",step01标题尺码信息!$T$37)</f>
        <v/>
      </c>
      <c r="ES65" t="str">
        <f ca="1" t="shared" si="37"/>
        <v/>
      </c>
      <c r="HF65" t="str">
        <f ca="1">IF(B65="","",step01标题尺码信息!$S$2)</f>
        <v/>
      </c>
      <c r="HH65" t="str">
        <f ca="1" t="shared" si="38"/>
        <v/>
      </c>
      <c r="HI65" t="str">
        <f ca="1" t="shared" si="39"/>
        <v/>
      </c>
      <c r="HL65" t="str">
        <f ca="1" t="shared" si="40"/>
        <v/>
      </c>
      <c r="IA65" t="str">
        <f ca="1" t="shared" si="41"/>
        <v/>
      </c>
    </row>
    <row r="66" spans="1:235">
      <c r="A66" t="str">
        <f ca="1">IF(B66="","",step01标题尺码信息!$B$3)</f>
        <v/>
      </c>
      <c r="B66" t="str">
        <f ca="1">IF(step01标题尺码信息!G68="","",step01标题尺码信息!G68)</f>
        <v/>
      </c>
      <c r="C66" t="str">
        <f ca="1">IF(B66="","",step01标题尺码信息!$E$3)</f>
        <v/>
      </c>
      <c r="D66" t="str">
        <f ca="1" t="shared" si="23"/>
        <v/>
      </c>
      <c r="E66" t="str">
        <f ca="1">IF(B66="","",VLOOKUP(B66,step01标题尺码信息!G:P,4,0))</f>
        <v/>
      </c>
      <c r="H66" t="str">
        <f ca="1">IF(B66="","",step01标题尺码信息!$R$19)</f>
        <v/>
      </c>
      <c r="I66" t="str">
        <f ca="1" t="shared" si="24"/>
        <v/>
      </c>
      <c r="M66" t="str">
        <f ca="1" t="shared" si="25"/>
        <v/>
      </c>
      <c r="U66" t="str">
        <f ca="1">IF(B66="","",step01标题尺码信息!$S$1)</f>
        <v/>
      </c>
      <c r="V66" t="str">
        <f ca="1" t="shared" si="26"/>
        <v/>
      </c>
      <c r="W66" t="str">
        <f ca="1">IF(B66="","",step01标题尺码信息!$V$1)</f>
        <v/>
      </c>
      <c r="X66" t="str">
        <f ca="1">IF(B66="","",step01标题尺码信息!$V$2)</f>
        <v/>
      </c>
      <c r="Y66" t="str">
        <f ca="1" t="shared" si="27"/>
        <v/>
      </c>
      <c r="Z66" t="str">
        <f ca="1" t="shared" si="28"/>
        <v/>
      </c>
      <c r="AA66" t="str">
        <f ca="1">IF(B66="","",IF(CB66="Parent","",VLOOKUP(B66,step01标题尺码信息!G:P,9,0)))</f>
        <v/>
      </c>
      <c r="AG66" t="str">
        <f ca="1" t="shared" si="42"/>
        <v/>
      </c>
      <c r="AH66" t="str">
        <f ca="1" t="shared" si="43"/>
        <v/>
      </c>
      <c r="AI66" t="str">
        <f ca="1">IF(OR(B66="",VLOOKUP(BH66,step02图片链接!B:E,4,0)=""),"",VLOOKUP(BH66,step02图片链接!B:E,4,0))</f>
        <v/>
      </c>
      <c r="AJ66" t="str">
        <f ca="1">IF(OR(B66="",VLOOKUP(BH66,step02图片链接!B:G,6,0)=""),"",VLOOKUP(BH66,step02图片链接!B:G,6,0))</f>
        <v/>
      </c>
      <c r="AK66" t="str">
        <f ca="1">IF(OR(B66="",VLOOKUP(BH66,step02图片链接!B:H,7,0)=""),"",VLOOKUP(BH66,step02图片链接!B:H,7,0))</f>
        <v/>
      </c>
      <c r="AL66" t="str">
        <f ca="1">IF(OR(B66="",VLOOKUP(BH66,step02图片链接!B:I,8,0)=""),"",VLOOKUP(BH66,step02图片链接!B:I,8,0))</f>
        <v/>
      </c>
      <c r="AM66" t="str">
        <f ca="1">IF(OR(B66="",VLOOKUP(BH66,step02图片链接!B:J,9,0)=""),"",VLOOKUP(BH66,step02图片链接!B:J,9,0))</f>
        <v/>
      </c>
      <c r="AN66" t="str">
        <f ca="1">IF(OR(B66="",VLOOKUP(BH66,step02图片链接!B:K,10,0)=""),"",VLOOKUP(BH66,step02图片链接!B:K,10,0))</f>
        <v/>
      </c>
      <c r="AO66" t="str">
        <f ca="1">IF(OR(B66="",VLOOKUP(BH66,step02图片链接!B:L,11,0)=""),"",VLOOKUP(BH66,step02图片链接!B:L,11,0))</f>
        <v/>
      </c>
      <c r="AP66" t="str">
        <f ca="1">IF(OR(B66="",VLOOKUP(BH66,step02图片链接!B:M,12,0)=""),"",VLOOKUP(BH66,step02图片链接!B:M,12,0))</f>
        <v/>
      </c>
      <c r="AQ66" t="str">
        <f ca="1">IF(OR(B66="",VLOOKUP(BH66,step02图片链接!B:N,13,0)=""),"",VLOOKUP(BH66,step02图片链接!B:N,13,0))</f>
        <v/>
      </c>
      <c r="AS66" t="str">
        <f ca="1" t="shared" si="44"/>
        <v/>
      </c>
      <c r="AT66" t="str">
        <f ca="1" t="shared" si="45"/>
        <v/>
      </c>
      <c r="AU66" t="str">
        <f ca="1" t="shared" si="29"/>
        <v/>
      </c>
      <c r="AV66" t="str">
        <f ca="1">IF(B66="","",step01标题尺码信息!$T$36)</f>
        <v/>
      </c>
      <c r="AZ66" t="str">
        <f ca="1">IF(B66="","",step01标题尺码信息!$S$41)</f>
        <v/>
      </c>
      <c r="BA66" t="str">
        <f ca="1">IF(B66="","",step01标题尺码信息!$S$43)</f>
        <v/>
      </c>
      <c r="BB66" t="str">
        <f ca="1">IF(B66="","",step01标题尺码信息!$S$45)</f>
        <v/>
      </c>
      <c r="BC66" t="str">
        <f ca="1">IF(B66="","",step01标题尺码信息!$S$47)</f>
        <v/>
      </c>
      <c r="BD66" t="str">
        <f ca="1">IF(B66="","",step01标题尺码信息!$S$49)</f>
        <v/>
      </c>
      <c r="BE66" t="str">
        <f ca="1">IF(B66="","",step01标题尺码信息!$S$53)</f>
        <v/>
      </c>
      <c r="BH66" t="str">
        <f ca="1">IF(B66="","",IF(DX66="Parent","",VLOOKUP(B66,step01标题尺码信息!G:P,7,0)))</f>
        <v/>
      </c>
      <c r="BI66" t="str">
        <f ca="1">IF(B66="","",IF(DX66="Parent","",VLOOKUP(B66,step01标题尺码信息!G:P,8,0)))</f>
        <v/>
      </c>
      <c r="BK66" t="str">
        <f ca="1" t="shared" si="30"/>
        <v/>
      </c>
      <c r="BL66" t="str">
        <f ca="1" t="shared" si="31"/>
        <v/>
      </c>
      <c r="BO66" t="str">
        <f ca="1" t="shared" si="32"/>
        <v/>
      </c>
      <c r="BR66" t="str">
        <f ca="1">IF(B66="","",IF(AS66="Parent","",VLOOKUP(B66,step01标题尺码信息!G:P,9,0)))</f>
        <v/>
      </c>
      <c r="CY66" t="str">
        <f ca="1" t="shared" si="33"/>
        <v/>
      </c>
      <c r="DG66" t="str">
        <f ca="1">IF(B66="","",step01标题尺码信息!$T$30)</f>
        <v/>
      </c>
      <c r="DH66" t="str">
        <f ca="1" t="shared" si="34"/>
        <v/>
      </c>
      <c r="DN66" t="str">
        <f ca="1" t="shared" si="35"/>
        <v/>
      </c>
      <c r="DW66" t="str">
        <f ca="1" t="shared" si="36"/>
        <v/>
      </c>
      <c r="ER66" t="str">
        <f ca="1">IF(B66="","",step01标题尺码信息!$T$37)</f>
        <v/>
      </c>
      <c r="ES66" t="str">
        <f ca="1" t="shared" si="37"/>
        <v/>
      </c>
      <c r="HF66" t="str">
        <f ca="1">IF(B66="","",step01标题尺码信息!$S$2)</f>
        <v/>
      </c>
      <c r="HH66" t="str">
        <f ca="1" t="shared" si="38"/>
        <v/>
      </c>
      <c r="HI66" t="str">
        <f ca="1" t="shared" si="39"/>
        <v/>
      </c>
      <c r="HL66" t="str">
        <f ca="1" t="shared" si="40"/>
        <v/>
      </c>
      <c r="IA66" t="str">
        <f ca="1" t="shared" si="41"/>
        <v/>
      </c>
    </row>
    <row r="67" spans="1:235">
      <c r="A67" t="str">
        <f ca="1">IF(B67="","",step01标题尺码信息!$B$3)</f>
        <v/>
      </c>
      <c r="B67" t="str">
        <f ca="1">IF(step01标题尺码信息!G69="","",step01标题尺码信息!G69)</f>
        <v/>
      </c>
      <c r="C67" t="str">
        <f ca="1">IF(B67="","",step01标题尺码信息!$E$3)</f>
        <v/>
      </c>
      <c r="D67" t="str">
        <f ca="1" t="shared" si="23"/>
        <v/>
      </c>
      <c r="E67" t="str">
        <f ca="1">IF(B67="","",VLOOKUP(B67,step01标题尺码信息!G:P,4,0))</f>
        <v/>
      </c>
      <c r="H67" t="str">
        <f ca="1">IF(B67="","",step01标题尺码信息!$R$19)</f>
        <v/>
      </c>
      <c r="I67" t="str">
        <f ca="1" t="shared" si="24"/>
        <v/>
      </c>
      <c r="M67" t="str">
        <f ca="1" t="shared" si="25"/>
        <v/>
      </c>
      <c r="U67" t="str">
        <f ca="1">IF(B67="","",step01标题尺码信息!$S$1)</f>
        <v/>
      </c>
      <c r="V67" t="str">
        <f ca="1" t="shared" si="26"/>
        <v/>
      </c>
      <c r="W67" t="str">
        <f ca="1">IF(B67="","",step01标题尺码信息!$V$1)</f>
        <v/>
      </c>
      <c r="X67" t="str">
        <f ca="1">IF(B67="","",step01标题尺码信息!$V$2)</f>
        <v/>
      </c>
      <c r="Y67" t="str">
        <f ca="1" t="shared" si="27"/>
        <v/>
      </c>
      <c r="Z67" t="str">
        <f ca="1" t="shared" si="28"/>
        <v/>
      </c>
      <c r="AA67" t="str">
        <f ca="1">IF(B67="","",IF(CB67="Parent","",VLOOKUP(B67,step01标题尺码信息!G:P,9,0)))</f>
        <v/>
      </c>
      <c r="AG67" t="str">
        <f ca="1" t="shared" si="42"/>
        <v/>
      </c>
      <c r="AH67" t="str">
        <f ca="1" t="shared" si="43"/>
        <v/>
      </c>
      <c r="AI67" t="str">
        <f ca="1">IF(OR(B67="",VLOOKUP(BH67,step02图片链接!B:E,4,0)=""),"",VLOOKUP(BH67,step02图片链接!B:E,4,0))</f>
        <v/>
      </c>
      <c r="AJ67" t="str">
        <f ca="1">IF(OR(B67="",VLOOKUP(BH67,step02图片链接!B:G,6,0)=""),"",VLOOKUP(BH67,step02图片链接!B:G,6,0))</f>
        <v/>
      </c>
      <c r="AK67" t="str">
        <f ca="1">IF(OR(B67="",VLOOKUP(BH67,step02图片链接!B:H,7,0)=""),"",VLOOKUP(BH67,step02图片链接!B:H,7,0))</f>
        <v/>
      </c>
      <c r="AL67" t="str">
        <f ca="1">IF(OR(B67="",VLOOKUP(BH67,step02图片链接!B:I,8,0)=""),"",VLOOKUP(BH67,step02图片链接!B:I,8,0))</f>
        <v/>
      </c>
      <c r="AM67" t="str">
        <f ca="1">IF(OR(B67="",VLOOKUP(BH67,step02图片链接!B:J,9,0)=""),"",VLOOKUP(BH67,step02图片链接!B:J,9,0))</f>
        <v/>
      </c>
      <c r="AN67" t="str">
        <f ca="1">IF(OR(B67="",VLOOKUP(BH67,step02图片链接!B:K,10,0)=""),"",VLOOKUP(BH67,step02图片链接!B:K,10,0))</f>
        <v/>
      </c>
      <c r="AO67" t="str">
        <f ca="1">IF(OR(B67="",VLOOKUP(BH67,step02图片链接!B:L,11,0)=""),"",VLOOKUP(BH67,step02图片链接!B:L,11,0))</f>
        <v/>
      </c>
      <c r="AP67" t="str">
        <f ca="1">IF(OR(B67="",VLOOKUP(BH67,step02图片链接!B:M,12,0)=""),"",VLOOKUP(BH67,step02图片链接!B:M,12,0))</f>
        <v/>
      </c>
      <c r="AQ67" t="str">
        <f ca="1">IF(OR(B67="",VLOOKUP(BH67,step02图片链接!B:N,13,0)=""),"",VLOOKUP(BH67,step02图片链接!B:N,13,0))</f>
        <v/>
      </c>
      <c r="AS67" t="str">
        <f ca="1" t="shared" si="44"/>
        <v/>
      </c>
      <c r="AT67" t="str">
        <f ca="1" t="shared" si="45"/>
        <v/>
      </c>
      <c r="AU67" t="str">
        <f ca="1" t="shared" si="29"/>
        <v/>
      </c>
      <c r="AV67" t="str">
        <f ca="1">IF(B67="","",step01标题尺码信息!$T$36)</f>
        <v/>
      </c>
      <c r="AZ67" t="str">
        <f ca="1">IF(B67="","",step01标题尺码信息!$S$41)</f>
        <v/>
      </c>
      <c r="BA67" t="str">
        <f ca="1">IF(B67="","",step01标题尺码信息!$S$43)</f>
        <v/>
      </c>
      <c r="BB67" t="str">
        <f ca="1">IF(B67="","",step01标题尺码信息!$S$45)</f>
        <v/>
      </c>
      <c r="BC67" t="str">
        <f ca="1">IF(B67="","",step01标题尺码信息!$S$47)</f>
        <v/>
      </c>
      <c r="BD67" t="str">
        <f ca="1">IF(B67="","",step01标题尺码信息!$S$49)</f>
        <v/>
      </c>
      <c r="BE67" t="str">
        <f ca="1">IF(B67="","",step01标题尺码信息!$S$53)</f>
        <v/>
      </c>
      <c r="BH67" t="str">
        <f ca="1">IF(B67="","",IF(DX67="Parent","",VLOOKUP(B67,step01标题尺码信息!G:P,7,0)))</f>
        <v/>
      </c>
      <c r="BI67" t="str">
        <f ca="1">IF(B67="","",IF(DX67="Parent","",VLOOKUP(B67,step01标题尺码信息!G:P,8,0)))</f>
        <v/>
      </c>
      <c r="BK67" t="str">
        <f ca="1" t="shared" si="30"/>
        <v/>
      </c>
      <c r="BL67" t="str">
        <f ca="1" t="shared" si="31"/>
        <v/>
      </c>
      <c r="BO67" t="str">
        <f ca="1" t="shared" si="32"/>
        <v/>
      </c>
      <c r="BR67" t="str">
        <f ca="1">IF(B67="","",IF(AS67="Parent","",VLOOKUP(B67,step01标题尺码信息!G:P,9,0)))</f>
        <v/>
      </c>
      <c r="CY67" t="str">
        <f ca="1" t="shared" si="33"/>
        <v/>
      </c>
      <c r="DG67" t="str">
        <f ca="1">IF(B67="","",step01标题尺码信息!$T$30)</f>
        <v/>
      </c>
      <c r="DH67" t="str">
        <f ca="1" t="shared" si="34"/>
        <v/>
      </c>
      <c r="DN67" t="str">
        <f ca="1" t="shared" si="35"/>
        <v/>
      </c>
      <c r="DW67" t="str">
        <f ca="1" t="shared" si="36"/>
        <v/>
      </c>
      <c r="ER67" t="str">
        <f ca="1">IF(B67="","",step01标题尺码信息!$T$37)</f>
        <v/>
      </c>
      <c r="ES67" t="str">
        <f ca="1" t="shared" si="37"/>
        <v/>
      </c>
      <c r="HF67" t="str">
        <f ca="1">IF(B67="","",step01标题尺码信息!$S$2)</f>
        <v/>
      </c>
      <c r="HH67" t="str">
        <f ca="1" t="shared" si="38"/>
        <v/>
      </c>
      <c r="HI67" t="str">
        <f ca="1" t="shared" si="39"/>
        <v/>
      </c>
      <c r="HL67" t="str">
        <f ca="1" t="shared" si="40"/>
        <v/>
      </c>
      <c r="IA67" t="str">
        <f ca="1" t="shared" si="41"/>
        <v/>
      </c>
    </row>
    <row r="68" spans="1:235">
      <c r="A68" t="str">
        <f ca="1">IF(B68="","",step01标题尺码信息!$B$3)</f>
        <v/>
      </c>
      <c r="B68" t="str">
        <f ca="1">IF(step01标题尺码信息!G70="","",step01标题尺码信息!G70)</f>
        <v/>
      </c>
      <c r="C68" t="str">
        <f ca="1">IF(B68="","",step01标题尺码信息!$E$3)</f>
        <v/>
      </c>
      <c r="D68" t="str">
        <f ca="1" t="shared" si="23"/>
        <v/>
      </c>
      <c r="E68" t="str">
        <f ca="1">IF(B68="","",VLOOKUP(B68,step01标题尺码信息!G:P,4,0))</f>
        <v/>
      </c>
      <c r="H68" t="str">
        <f ca="1">IF(B68="","",step01标题尺码信息!$R$19)</f>
        <v/>
      </c>
      <c r="I68" t="str">
        <f ca="1" t="shared" si="24"/>
        <v/>
      </c>
      <c r="M68" t="str">
        <f ca="1" t="shared" si="25"/>
        <v/>
      </c>
      <c r="U68" t="str">
        <f ca="1">IF(B68="","",step01标题尺码信息!$S$1)</f>
        <v/>
      </c>
      <c r="V68" t="str">
        <f ca="1" t="shared" si="26"/>
        <v/>
      </c>
      <c r="W68" t="str">
        <f ca="1">IF(B68="","",step01标题尺码信息!$V$1)</f>
        <v/>
      </c>
      <c r="X68" t="str">
        <f ca="1">IF(B68="","",step01标题尺码信息!$V$2)</f>
        <v/>
      </c>
      <c r="Y68" t="str">
        <f ca="1" t="shared" si="27"/>
        <v/>
      </c>
      <c r="Z68" t="str">
        <f ca="1" t="shared" si="28"/>
        <v/>
      </c>
      <c r="AA68" t="str">
        <f ca="1">IF(B68="","",IF(CB68="Parent","",VLOOKUP(B68,step01标题尺码信息!G:P,9,0)))</f>
        <v/>
      </c>
      <c r="AG68" t="str">
        <f ca="1" t="shared" si="42"/>
        <v/>
      </c>
      <c r="AH68" t="str">
        <f ca="1" t="shared" si="43"/>
        <v/>
      </c>
      <c r="AI68" t="str">
        <f ca="1">IF(OR(B68="",VLOOKUP(BH68,step02图片链接!B:E,4,0)=""),"",VLOOKUP(BH68,step02图片链接!B:E,4,0))</f>
        <v/>
      </c>
      <c r="AJ68" t="str">
        <f ca="1">IF(OR(B68="",VLOOKUP(BH68,step02图片链接!B:G,6,0)=""),"",VLOOKUP(BH68,step02图片链接!B:G,6,0))</f>
        <v/>
      </c>
      <c r="AK68" t="str">
        <f ca="1">IF(OR(B68="",VLOOKUP(BH68,step02图片链接!B:H,7,0)=""),"",VLOOKUP(BH68,step02图片链接!B:H,7,0))</f>
        <v/>
      </c>
      <c r="AL68" t="str">
        <f ca="1">IF(OR(B68="",VLOOKUP(BH68,step02图片链接!B:I,8,0)=""),"",VLOOKUP(BH68,step02图片链接!B:I,8,0))</f>
        <v/>
      </c>
      <c r="AM68" t="str">
        <f ca="1">IF(OR(B68="",VLOOKUP(BH68,step02图片链接!B:J,9,0)=""),"",VLOOKUP(BH68,step02图片链接!B:J,9,0))</f>
        <v/>
      </c>
      <c r="AN68" t="str">
        <f ca="1">IF(OR(B68="",VLOOKUP(BH68,step02图片链接!B:K,10,0)=""),"",VLOOKUP(BH68,step02图片链接!B:K,10,0))</f>
        <v/>
      </c>
      <c r="AO68" t="str">
        <f ca="1">IF(OR(B68="",VLOOKUP(BH68,step02图片链接!B:L,11,0)=""),"",VLOOKUP(BH68,step02图片链接!B:L,11,0))</f>
        <v/>
      </c>
      <c r="AP68" t="str">
        <f ca="1">IF(OR(B68="",VLOOKUP(BH68,step02图片链接!B:M,12,0)=""),"",VLOOKUP(BH68,step02图片链接!B:M,12,0))</f>
        <v/>
      </c>
      <c r="AQ68" t="str">
        <f ca="1">IF(OR(B68="",VLOOKUP(BH68,step02图片链接!B:N,13,0)=""),"",VLOOKUP(BH68,step02图片链接!B:N,13,0))</f>
        <v/>
      </c>
      <c r="AS68" t="str">
        <f ca="1" t="shared" si="44"/>
        <v/>
      </c>
      <c r="AT68" t="str">
        <f ca="1" t="shared" si="45"/>
        <v/>
      </c>
      <c r="AU68" t="str">
        <f ca="1" t="shared" si="29"/>
        <v/>
      </c>
      <c r="AV68" t="str">
        <f ca="1">IF(B68="","",step01标题尺码信息!$T$36)</f>
        <v/>
      </c>
      <c r="AZ68" t="str">
        <f ca="1">IF(B68="","",step01标题尺码信息!$S$41)</f>
        <v/>
      </c>
      <c r="BA68" t="str">
        <f ca="1">IF(B68="","",step01标题尺码信息!$S$43)</f>
        <v/>
      </c>
      <c r="BB68" t="str">
        <f ca="1">IF(B68="","",step01标题尺码信息!$S$45)</f>
        <v/>
      </c>
      <c r="BC68" t="str">
        <f ca="1">IF(B68="","",step01标题尺码信息!$S$47)</f>
        <v/>
      </c>
      <c r="BD68" t="str">
        <f ca="1">IF(B68="","",step01标题尺码信息!$S$49)</f>
        <v/>
      </c>
      <c r="BE68" t="str">
        <f ca="1">IF(B68="","",step01标题尺码信息!$S$53)</f>
        <v/>
      </c>
      <c r="BH68" t="str">
        <f ca="1">IF(B68="","",IF(DX68="Parent","",VLOOKUP(B68,step01标题尺码信息!G:P,7,0)))</f>
        <v/>
      </c>
      <c r="BI68" t="str">
        <f ca="1">IF(B68="","",IF(DX68="Parent","",VLOOKUP(B68,step01标题尺码信息!G:P,8,0)))</f>
        <v/>
      </c>
      <c r="BK68" t="str">
        <f ca="1" t="shared" si="30"/>
        <v/>
      </c>
      <c r="BL68" t="str">
        <f ca="1" t="shared" si="31"/>
        <v/>
      </c>
      <c r="BO68" t="str">
        <f ca="1" t="shared" si="32"/>
        <v/>
      </c>
      <c r="BR68" t="str">
        <f ca="1">IF(B68="","",IF(AS68="Parent","",VLOOKUP(B68,step01标题尺码信息!G:P,9,0)))</f>
        <v/>
      </c>
      <c r="CY68" t="str">
        <f ca="1" t="shared" si="33"/>
        <v/>
      </c>
      <c r="DG68" t="str">
        <f ca="1">IF(B68="","",step01标题尺码信息!$T$30)</f>
        <v/>
      </c>
      <c r="DH68" t="str">
        <f ca="1" t="shared" si="34"/>
        <v/>
      </c>
      <c r="DN68" t="str">
        <f ca="1" t="shared" si="35"/>
        <v/>
      </c>
      <c r="DW68" t="str">
        <f ca="1" t="shared" si="36"/>
        <v/>
      </c>
      <c r="ER68" t="str">
        <f ca="1">IF(B68="","",step01标题尺码信息!$T$37)</f>
        <v/>
      </c>
      <c r="ES68" t="str">
        <f ca="1" t="shared" si="37"/>
        <v/>
      </c>
      <c r="HF68" t="str">
        <f ca="1">IF(B68="","",step01标题尺码信息!$S$2)</f>
        <v/>
      </c>
      <c r="HH68" t="str">
        <f ca="1" t="shared" si="38"/>
        <v/>
      </c>
      <c r="HI68" t="str">
        <f ca="1" t="shared" si="39"/>
        <v/>
      </c>
      <c r="HL68" t="str">
        <f ca="1" t="shared" si="40"/>
        <v/>
      </c>
      <c r="IA68" t="str">
        <f ca="1" t="shared" si="41"/>
        <v/>
      </c>
    </row>
    <row r="69" spans="1:235">
      <c r="A69" t="str">
        <f ca="1">IF(B69="","",step01标题尺码信息!$B$3)</f>
        <v/>
      </c>
      <c r="B69" t="str">
        <f ca="1">IF(step01标题尺码信息!G71="","",step01标题尺码信息!G71)</f>
        <v/>
      </c>
      <c r="C69" t="str">
        <f ca="1">IF(B69="","",step01标题尺码信息!$E$3)</f>
        <v/>
      </c>
      <c r="D69" t="str">
        <f ca="1" t="shared" ref="D69:D100" si="46">IF(B69="","","Update")</f>
        <v/>
      </c>
      <c r="E69" t="str">
        <f ca="1">IF(B69="","",VLOOKUP(B69,step01标题尺码信息!G:P,4,0))</f>
        <v/>
      </c>
      <c r="H69" t="str">
        <f ca="1">IF(B69="","",step01标题尺码信息!$R$19)</f>
        <v/>
      </c>
      <c r="I69" t="str">
        <f ca="1" t="shared" ref="I69:I100" si="47">IF(B69="","","novelty-t-shirts")</f>
        <v/>
      </c>
      <c r="M69" t="str">
        <f ca="1" t="shared" ref="M69:M100" si="48">IF(B69="","","Synthetic")</f>
        <v/>
      </c>
      <c r="U69" t="str">
        <f ca="1">IF(B69="","",step01标题尺码信息!$S$1)</f>
        <v/>
      </c>
      <c r="V69" t="str">
        <f ca="1" t="shared" ref="V69:V100" si="49">IF(B69="","",1000)</f>
        <v/>
      </c>
      <c r="W69" t="str">
        <f ca="1">IF(B69="","",step01标题尺码信息!$V$1)</f>
        <v/>
      </c>
      <c r="X69" t="str">
        <f ca="1">IF(B69="","",step01标题尺码信息!$V$2)</f>
        <v/>
      </c>
      <c r="Y69" t="str">
        <f ca="1" t="shared" ref="Y69:Y100" si="50">IF(B69="","","US")</f>
        <v/>
      </c>
      <c r="Z69" t="str">
        <f ca="1" t="shared" ref="Z69:Z100" si="51">IF(B69="","","Alpha")</f>
        <v/>
      </c>
      <c r="AA69" t="str">
        <f ca="1">IF(B69="","",IF(CB69="Parent","",VLOOKUP(B69,step01标题尺码信息!G:P,9,0)))</f>
        <v/>
      </c>
      <c r="AG69" t="str">
        <f ca="1" t="shared" si="42"/>
        <v/>
      </c>
      <c r="AH69" t="str">
        <f ca="1" t="shared" si="43"/>
        <v/>
      </c>
      <c r="AI69" t="str">
        <f ca="1">IF(OR(B69="",VLOOKUP(BH69,step02图片链接!B:E,4,0)=""),"",VLOOKUP(BH69,step02图片链接!B:E,4,0))</f>
        <v/>
      </c>
      <c r="AJ69" t="str">
        <f ca="1">IF(OR(B69="",VLOOKUP(BH69,step02图片链接!B:G,6,0)=""),"",VLOOKUP(BH69,step02图片链接!B:G,6,0))</f>
        <v/>
      </c>
      <c r="AK69" t="str">
        <f ca="1">IF(OR(B69="",VLOOKUP(BH69,step02图片链接!B:H,7,0)=""),"",VLOOKUP(BH69,step02图片链接!B:H,7,0))</f>
        <v/>
      </c>
      <c r="AL69" t="str">
        <f ca="1">IF(OR(B69="",VLOOKUP(BH69,step02图片链接!B:I,8,0)=""),"",VLOOKUP(BH69,step02图片链接!B:I,8,0))</f>
        <v/>
      </c>
      <c r="AM69" t="str">
        <f ca="1">IF(OR(B69="",VLOOKUP(BH69,step02图片链接!B:J,9,0)=""),"",VLOOKUP(BH69,step02图片链接!B:J,9,0))</f>
        <v/>
      </c>
      <c r="AN69" t="str">
        <f ca="1">IF(OR(B69="",VLOOKUP(BH69,step02图片链接!B:K,10,0)=""),"",VLOOKUP(BH69,step02图片链接!B:K,10,0))</f>
        <v/>
      </c>
      <c r="AO69" t="str">
        <f ca="1">IF(OR(B69="",VLOOKUP(BH69,step02图片链接!B:L,11,0)=""),"",VLOOKUP(BH69,step02图片链接!B:L,11,0))</f>
        <v/>
      </c>
      <c r="AP69" t="str">
        <f ca="1">IF(OR(B69="",VLOOKUP(BH69,step02图片链接!B:M,12,0)=""),"",VLOOKUP(BH69,step02图片链接!B:M,12,0))</f>
        <v/>
      </c>
      <c r="AQ69" t="str">
        <f ca="1">IF(OR(B69="",VLOOKUP(BH69,step02图片链接!B:N,13,0)=""),"",VLOOKUP(BH69,step02图片链接!B:N,13,0))</f>
        <v/>
      </c>
      <c r="AS69" t="str">
        <f ca="1" t="shared" si="44"/>
        <v/>
      </c>
      <c r="AT69" t="str">
        <f ca="1" t="shared" si="45"/>
        <v/>
      </c>
      <c r="AU69" t="str">
        <f ca="1" t="shared" ref="AU69:AU100" si="52">IF(AT69="","","Variation")</f>
        <v/>
      </c>
      <c r="AV69" t="str">
        <f ca="1">IF(B69="","",step01标题尺码信息!$T$36)</f>
        <v/>
      </c>
      <c r="AZ69" t="str">
        <f ca="1">IF(B69="","",step01标题尺码信息!$S$41)</f>
        <v/>
      </c>
      <c r="BA69" t="str">
        <f ca="1">IF(B69="","",step01标题尺码信息!$S$43)</f>
        <v/>
      </c>
      <c r="BB69" t="str">
        <f ca="1">IF(B69="","",step01标题尺码信息!$S$45)</f>
        <v/>
      </c>
      <c r="BC69" t="str">
        <f ca="1">IF(B69="","",step01标题尺码信息!$S$47)</f>
        <v/>
      </c>
      <c r="BD69" t="str">
        <f ca="1">IF(B69="","",step01标题尺码信息!$S$49)</f>
        <v/>
      </c>
      <c r="BE69" t="str">
        <f ca="1">IF(B69="","",step01标题尺码信息!$S$53)</f>
        <v/>
      </c>
      <c r="BH69" t="str">
        <f ca="1">IF(B69="","",IF(DX69="Parent","",VLOOKUP(B69,step01标题尺码信息!G:P,7,0)))</f>
        <v/>
      </c>
      <c r="BI69" t="str">
        <f ca="1">IF(B69="","",IF(DX69="Parent","",VLOOKUP(B69,step01标题尺码信息!G:P,8,0)))</f>
        <v/>
      </c>
      <c r="BK69" t="str">
        <f ca="1" t="shared" ref="BK69:BK100" si="53">IF(B69="","","Unisex Adult")</f>
        <v/>
      </c>
      <c r="BL69" t="str">
        <f ca="1" t="shared" ref="BL69:BL100" si="54">IF(B69="","","Regular")</f>
        <v/>
      </c>
      <c r="BO69" t="str">
        <f ca="1" t="shared" ref="BO69:BO100" si="55">IF(B69="","","Crewneck")</f>
        <v/>
      </c>
      <c r="BR69" t="str">
        <f ca="1">IF(B69="","",IF(AS69="Parent","",VLOOKUP(B69,step01标题尺码信息!G:P,9,0)))</f>
        <v/>
      </c>
      <c r="CY69" t="str">
        <f ca="1" t="shared" ref="CY69:CY100" si="56">IF(B69="","","Short Sleeve")</f>
        <v/>
      </c>
      <c r="DG69" t="str">
        <f ca="1">IF(B69="","",step01标题尺码信息!$T$30)</f>
        <v/>
      </c>
      <c r="DH69" t="str">
        <f ca="1" t="shared" ref="DH69:DH100" si="57">IF(B69="","","KG")</f>
        <v/>
      </c>
      <c r="DN69" t="str">
        <f ca="1" t="shared" ref="DN69:DN100" si="58">BR69</f>
        <v/>
      </c>
      <c r="DW69" t="str">
        <f ca="1" t="shared" ref="DW69:DW100" si="59">IF(B69="","","DEFAULT")</f>
        <v/>
      </c>
      <c r="ER69" t="str">
        <f ca="1">IF(B69="","",step01标题尺码信息!$T$37)</f>
        <v/>
      </c>
      <c r="ES69" t="str">
        <f ca="1" t="shared" ref="ES69:ES100" si="60">IF(B69="","","Imported")</f>
        <v/>
      </c>
      <c r="HF69" t="str">
        <f ca="1">IF(B69="","",step01标题尺码信息!$S$2)</f>
        <v/>
      </c>
      <c r="HH69" t="str">
        <f ca="1" t="shared" ref="HH69:HH100" si="61">IF(B69="","","USD")</f>
        <v/>
      </c>
      <c r="HI69" t="str">
        <f ca="1" t="shared" ref="HI69:HI100" si="62">IF(B69="","","NEW")</f>
        <v/>
      </c>
      <c r="HL69" t="str">
        <f ca="1" t="shared" ref="HL69:HL100" si="63">IF(B69="","","10")</f>
        <v/>
      </c>
      <c r="IA69" t="str">
        <f ca="1" t="shared" ref="IA69:IA100" si="64">IF(B69="","","Migrated Template")</f>
        <v/>
      </c>
    </row>
    <row r="70" spans="1:235">
      <c r="A70" t="str">
        <f ca="1">IF(B70="","",step01标题尺码信息!$B$3)</f>
        <v/>
      </c>
      <c r="B70" t="str">
        <f ca="1">IF(step01标题尺码信息!G72="","",step01标题尺码信息!G72)</f>
        <v/>
      </c>
      <c r="C70" t="str">
        <f ca="1">IF(B70="","",step01标题尺码信息!$E$3)</f>
        <v/>
      </c>
      <c r="D70" t="str">
        <f ca="1" t="shared" si="46"/>
        <v/>
      </c>
      <c r="E70" t="str">
        <f ca="1">IF(B70="","",VLOOKUP(B70,step01标题尺码信息!G:P,4,0))</f>
        <v/>
      </c>
      <c r="H70" t="str">
        <f ca="1">IF(B70="","",step01标题尺码信息!$R$19)</f>
        <v/>
      </c>
      <c r="I70" t="str">
        <f ca="1" t="shared" si="47"/>
        <v/>
      </c>
      <c r="M70" t="str">
        <f ca="1" t="shared" si="48"/>
        <v/>
      </c>
      <c r="U70" t="str">
        <f ca="1">IF(B70="","",step01标题尺码信息!$S$1)</f>
        <v/>
      </c>
      <c r="V70" t="str">
        <f ca="1" t="shared" si="49"/>
        <v/>
      </c>
      <c r="W70" t="str">
        <f ca="1">IF(B70="","",step01标题尺码信息!$V$1)</f>
        <v/>
      </c>
      <c r="X70" t="str">
        <f ca="1">IF(B70="","",step01标题尺码信息!$V$2)</f>
        <v/>
      </c>
      <c r="Y70" t="str">
        <f ca="1" t="shared" si="50"/>
        <v/>
      </c>
      <c r="Z70" t="str">
        <f ca="1" t="shared" si="51"/>
        <v/>
      </c>
      <c r="AA70" t="str">
        <f ca="1">IF(B70="","",IF(CB70="Parent","",VLOOKUP(B70,step01标题尺码信息!G:P,9,0)))</f>
        <v/>
      </c>
      <c r="AG70" t="str">
        <f ca="1" t="shared" ref="AG70:AG101" si="65">IF(B70="","","Regular")</f>
        <v/>
      </c>
      <c r="AH70" t="str">
        <f ca="1" t="shared" ref="AH70:AH101" si="66">IF(B70="","","Regular")</f>
        <v/>
      </c>
      <c r="AI70" t="str">
        <f ca="1">IF(OR(B70="",VLOOKUP(BH70,step02图片链接!B:E,4,0)=""),"",VLOOKUP(BH70,step02图片链接!B:E,4,0))</f>
        <v/>
      </c>
      <c r="AJ70" t="str">
        <f ca="1">IF(OR(B70="",VLOOKUP(BH70,step02图片链接!B:G,6,0)=""),"",VLOOKUP(BH70,step02图片链接!B:G,6,0))</f>
        <v/>
      </c>
      <c r="AK70" t="str">
        <f ca="1">IF(OR(B70="",VLOOKUP(BH70,step02图片链接!B:H,7,0)=""),"",VLOOKUP(BH70,step02图片链接!B:H,7,0))</f>
        <v/>
      </c>
      <c r="AL70" t="str">
        <f ca="1">IF(OR(B70="",VLOOKUP(BH70,step02图片链接!B:I,8,0)=""),"",VLOOKUP(BH70,step02图片链接!B:I,8,0))</f>
        <v/>
      </c>
      <c r="AM70" t="str">
        <f ca="1">IF(OR(B70="",VLOOKUP(BH70,step02图片链接!B:J,9,0)=""),"",VLOOKUP(BH70,step02图片链接!B:J,9,0))</f>
        <v/>
      </c>
      <c r="AN70" t="str">
        <f ca="1">IF(OR(B70="",VLOOKUP(BH70,step02图片链接!B:K,10,0)=""),"",VLOOKUP(BH70,step02图片链接!B:K,10,0))</f>
        <v/>
      </c>
      <c r="AO70" t="str">
        <f ca="1">IF(OR(B70="",VLOOKUP(BH70,step02图片链接!B:L,11,0)=""),"",VLOOKUP(BH70,step02图片链接!B:L,11,0))</f>
        <v/>
      </c>
      <c r="AP70" t="str">
        <f ca="1">IF(OR(B70="",VLOOKUP(BH70,step02图片链接!B:M,12,0)=""),"",VLOOKUP(BH70,step02图片链接!B:M,12,0))</f>
        <v/>
      </c>
      <c r="AQ70" t="str">
        <f ca="1">IF(OR(B70="",VLOOKUP(BH70,step02图片链接!B:N,13,0)=""),"",VLOOKUP(BH70,step02图片链接!B:N,13,0))</f>
        <v/>
      </c>
      <c r="AS70" t="str">
        <f ca="1" t="shared" ref="AS70:AS101" si="67">IF(AT70="","","Child")</f>
        <v/>
      </c>
      <c r="AT70" t="str">
        <f ca="1" t="shared" ref="AT70:AT101" si="68">IF(B70="","",$B$4)</f>
        <v/>
      </c>
      <c r="AU70" t="str">
        <f ca="1" t="shared" si="52"/>
        <v/>
      </c>
      <c r="AV70" t="str">
        <f ca="1">IF(B70="","",step01标题尺码信息!$T$36)</f>
        <v/>
      </c>
      <c r="AZ70" t="str">
        <f ca="1">IF(B70="","",step01标题尺码信息!$S$41)</f>
        <v/>
      </c>
      <c r="BA70" t="str">
        <f ca="1">IF(B70="","",step01标题尺码信息!$S$43)</f>
        <v/>
      </c>
      <c r="BB70" t="str">
        <f ca="1">IF(B70="","",step01标题尺码信息!$S$45)</f>
        <v/>
      </c>
      <c r="BC70" t="str">
        <f ca="1">IF(B70="","",step01标题尺码信息!$S$47)</f>
        <v/>
      </c>
      <c r="BD70" t="str">
        <f ca="1">IF(B70="","",step01标题尺码信息!$S$49)</f>
        <v/>
      </c>
      <c r="BE70" t="str">
        <f ca="1">IF(B70="","",step01标题尺码信息!$S$53)</f>
        <v/>
      </c>
      <c r="BH70" t="str">
        <f ca="1">IF(B70="","",IF(DX70="Parent","",VLOOKUP(B70,step01标题尺码信息!G:P,7,0)))</f>
        <v/>
      </c>
      <c r="BI70" t="str">
        <f ca="1">IF(B70="","",IF(DX70="Parent","",VLOOKUP(B70,step01标题尺码信息!G:P,8,0)))</f>
        <v/>
      </c>
      <c r="BK70" t="str">
        <f ca="1" t="shared" si="53"/>
        <v/>
      </c>
      <c r="BL70" t="str">
        <f ca="1" t="shared" si="54"/>
        <v/>
      </c>
      <c r="BO70" t="str">
        <f ca="1" t="shared" si="55"/>
        <v/>
      </c>
      <c r="BR70" t="str">
        <f ca="1">IF(B70="","",IF(AS70="Parent","",VLOOKUP(B70,step01标题尺码信息!G:P,9,0)))</f>
        <v/>
      </c>
      <c r="CY70" t="str">
        <f ca="1" t="shared" si="56"/>
        <v/>
      </c>
      <c r="DG70" t="str">
        <f ca="1">IF(B70="","",step01标题尺码信息!$T$30)</f>
        <v/>
      </c>
      <c r="DH70" t="str">
        <f ca="1" t="shared" si="57"/>
        <v/>
      </c>
      <c r="DN70" t="str">
        <f ca="1" t="shared" si="58"/>
        <v/>
      </c>
      <c r="DW70" t="str">
        <f ca="1" t="shared" si="59"/>
        <v/>
      </c>
      <c r="ER70" t="str">
        <f ca="1">IF(B70="","",step01标题尺码信息!$T$37)</f>
        <v/>
      </c>
      <c r="ES70" t="str">
        <f ca="1" t="shared" si="60"/>
        <v/>
      </c>
      <c r="HF70" t="str">
        <f ca="1">IF(B70="","",step01标题尺码信息!$S$2)</f>
        <v/>
      </c>
      <c r="HH70" t="str">
        <f ca="1" t="shared" si="61"/>
        <v/>
      </c>
      <c r="HI70" t="str">
        <f ca="1" t="shared" si="62"/>
        <v/>
      </c>
      <c r="HL70" t="str">
        <f ca="1" t="shared" si="63"/>
        <v/>
      </c>
      <c r="IA70" t="str">
        <f ca="1" t="shared" si="64"/>
        <v/>
      </c>
    </row>
    <row r="71" spans="1:235">
      <c r="A71" t="str">
        <f ca="1">IF(B71="","",step01标题尺码信息!$B$3)</f>
        <v/>
      </c>
      <c r="B71" t="str">
        <f ca="1">IF(step01标题尺码信息!G73="","",step01标题尺码信息!G73)</f>
        <v/>
      </c>
      <c r="C71" t="str">
        <f ca="1">IF(B71="","",step01标题尺码信息!$E$3)</f>
        <v/>
      </c>
      <c r="D71" t="str">
        <f ca="1" t="shared" si="46"/>
        <v/>
      </c>
      <c r="E71" t="str">
        <f ca="1">IF(B71="","",VLOOKUP(B71,step01标题尺码信息!G:P,4,0))</f>
        <v/>
      </c>
      <c r="H71" t="str">
        <f ca="1">IF(B71="","",step01标题尺码信息!$R$19)</f>
        <v/>
      </c>
      <c r="I71" t="str">
        <f ca="1" t="shared" si="47"/>
        <v/>
      </c>
      <c r="M71" t="str">
        <f ca="1" t="shared" si="48"/>
        <v/>
      </c>
      <c r="U71" t="str">
        <f ca="1">IF(B71="","",step01标题尺码信息!$S$1)</f>
        <v/>
      </c>
      <c r="V71" t="str">
        <f ca="1" t="shared" si="49"/>
        <v/>
      </c>
      <c r="W71" t="str">
        <f ca="1">IF(B71="","",step01标题尺码信息!$V$1)</f>
        <v/>
      </c>
      <c r="X71" t="str">
        <f ca="1">IF(B71="","",step01标题尺码信息!$V$2)</f>
        <v/>
      </c>
      <c r="Y71" t="str">
        <f ca="1" t="shared" si="50"/>
        <v/>
      </c>
      <c r="Z71" t="str">
        <f ca="1" t="shared" si="51"/>
        <v/>
      </c>
      <c r="AA71" t="str">
        <f ca="1">IF(B71="","",IF(CB71="Parent","",VLOOKUP(B71,step01标题尺码信息!G:P,9,0)))</f>
        <v/>
      </c>
      <c r="AG71" t="str">
        <f ca="1" t="shared" si="65"/>
        <v/>
      </c>
      <c r="AH71" t="str">
        <f ca="1" t="shared" si="66"/>
        <v/>
      </c>
      <c r="AI71" t="str">
        <f ca="1">IF(OR(B71="",VLOOKUP(BH71,step02图片链接!B:E,4,0)=""),"",VLOOKUP(BH71,step02图片链接!B:E,4,0))</f>
        <v/>
      </c>
      <c r="AJ71" t="str">
        <f ca="1">IF(OR(B71="",VLOOKUP(BH71,step02图片链接!B:G,6,0)=""),"",VLOOKUP(BH71,step02图片链接!B:G,6,0))</f>
        <v/>
      </c>
      <c r="AK71" t="str">
        <f ca="1">IF(OR(B71="",VLOOKUP(BH71,step02图片链接!B:H,7,0)=""),"",VLOOKUP(BH71,step02图片链接!B:H,7,0))</f>
        <v/>
      </c>
      <c r="AL71" t="str">
        <f ca="1">IF(OR(B71="",VLOOKUP(BH71,step02图片链接!B:I,8,0)=""),"",VLOOKUP(BH71,step02图片链接!B:I,8,0))</f>
        <v/>
      </c>
      <c r="AM71" t="str">
        <f ca="1">IF(OR(B71="",VLOOKUP(BH71,step02图片链接!B:J,9,0)=""),"",VLOOKUP(BH71,step02图片链接!B:J,9,0))</f>
        <v/>
      </c>
      <c r="AN71" t="str">
        <f ca="1">IF(OR(B71="",VLOOKUP(BH71,step02图片链接!B:K,10,0)=""),"",VLOOKUP(BH71,step02图片链接!B:K,10,0))</f>
        <v/>
      </c>
      <c r="AO71" t="str">
        <f ca="1">IF(OR(B71="",VLOOKUP(BH71,step02图片链接!B:L,11,0)=""),"",VLOOKUP(BH71,step02图片链接!B:L,11,0))</f>
        <v/>
      </c>
      <c r="AP71" t="str">
        <f ca="1">IF(OR(B71="",VLOOKUP(BH71,step02图片链接!B:M,12,0)=""),"",VLOOKUP(BH71,step02图片链接!B:M,12,0))</f>
        <v/>
      </c>
      <c r="AQ71" t="str">
        <f ca="1">IF(OR(B71="",VLOOKUP(BH71,step02图片链接!B:N,13,0)=""),"",VLOOKUP(BH71,step02图片链接!B:N,13,0))</f>
        <v/>
      </c>
      <c r="AS71" t="str">
        <f ca="1" t="shared" si="67"/>
        <v/>
      </c>
      <c r="AT71" t="str">
        <f ca="1" t="shared" si="68"/>
        <v/>
      </c>
      <c r="AU71" t="str">
        <f ca="1" t="shared" si="52"/>
        <v/>
      </c>
      <c r="AV71" t="str">
        <f ca="1">IF(B71="","",step01标题尺码信息!$T$36)</f>
        <v/>
      </c>
      <c r="AZ71" t="str">
        <f ca="1">IF(B71="","",step01标题尺码信息!$S$41)</f>
        <v/>
      </c>
      <c r="BA71" t="str">
        <f ca="1">IF(B71="","",step01标题尺码信息!$S$43)</f>
        <v/>
      </c>
      <c r="BB71" t="str">
        <f ca="1">IF(B71="","",step01标题尺码信息!$S$45)</f>
        <v/>
      </c>
      <c r="BC71" t="str">
        <f ca="1">IF(B71="","",step01标题尺码信息!$S$47)</f>
        <v/>
      </c>
      <c r="BD71" t="str">
        <f ca="1">IF(B71="","",step01标题尺码信息!$S$49)</f>
        <v/>
      </c>
      <c r="BE71" t="str">
        <f ca="1">IF(B71="","",step01标题尺码信息!$S$53)</f>
        <v/>
      </c>
      <c r="BH71" t="str">
        <f ca="1">IF(B71="","",IF(DX71="Parent","",VLOOKUP(B71,step01标题尺码信息!G:P,7,0)))</f>
        <v/>
      </c>
      <c r="BI71" t="str">
        <f ca="1">IF(B71="","",IF(DX71="Parent","",VLOOKUP(B71,step01标题尺码信息!G:P,8,0)))</f>
        <v/>
      </c>
      <c r="BK71" t="str">
        <f ca="1" t="shared" si="53"/>
        <v/>
      </c>
      <c r="BL71" t="str">
        <f ca="1" t="shared" si="54"/>
        <v/>
      </c>
      <c r="BO71" t="str">
        <f ca="1" t="shared" si="55"/>
        <v/>
      </c>
      <c r="BR71" t="str">
        <f ca="1">IF(B71="","",IF(AS71="Parent","",VLOOKUP(B71,step01标题尺码信息!G:P,9,0)))</f>
        <v/>
      </c>
      <c r="CY71" t="str">
        <f ca="1" t="shared" si="56"/>
        <v/>
      </c>
      <c r="DG71" t="str">
        <f ca="1">IF(B71="","",step01标题尺码信息!$T$30)</f>
        <v/>
      </c>
      <c r="DH71" t="str">
        <f ca="1" t="shared" si="57"/>
        <v/>
      </c>
      <c r="DN71" t="str">
        <f ca="1" t="shared" si="58"/>
        <v/>
      </c>
      <c r="DW71" t="str">
        <f ca="1" t="shared" si="59"/>
        <v/>
      </c>
      <c r="ER71" t="str">
        <f ca="1">IF(B71="","",step01标题尺码信息!$T$37)</f>
        <v/>
      </c>
      <c r="ES71" t="str">
        <f ca="1" t="shared" si="60"/>
        <v/>
      </c>
      <c r="HF71" t="str">
        <f ca="1">IF(B71="","",step01标题尺码信息!$S$2)</f>
        <v/>
      </c>
      <c r="HH71" t="str">
        <f ca="1" t="shared" si="61"/>
        <v/>
      </c>
      <c r="HI71" t="str">
        <f ca="1" t="shared" si="62"/>
        <v/>
      </c>
      <c r="HL71" t="str">
        <f ca="1" t="shared" si="63"/>
        <v/>
      </c>
      <c r="IA71" t="str">
        <f ca="1" t="shared" si="64"/>
        <v/>
      </c>
    </row>
    <row r="72" spans="1:235">
      <c r="A72" t="str">
        <f ca="1">IF(B72="","",step01标题尺码信息!$B$3)</f>
        <v/>
      </c>
      <c r="B72" t="str">
        <f ca="1">IF(step01标题尺码信息!G74="","",step01标题尺码信息!G74)</f>
        <v/>
      </c>
      <c r="C72" t="str">
        <f ca="1">IF(B72="","",step01标题尺码信息!$E$3)</f>
        <v/>
      </c>
      <c r="D72" t="str">
        <f ca="1" t="shared" si="46"/>
        <v/>
      </c>
      <c r="E72" t="str">
        <f ca="1">IF(B72="","",VLOOKUP(B72,step01标题尺码信息!G:P,4,0))</f>
        <v/>
      </c>
      <c r="H72" t="str">
        <f ca="1">IF(B72="","",step01标题尺码信息!$R$19)</f>
        <v/>
      </c>
      <c r="I72" t="str">
        <f ca="1" t="shared" si="47"/>
        <v/>
      </c>
      <c r="M72" t="str">
        <f ca="1" t="shared" si="48"/>
        <v/>
      </c>
      <c r="U72" t="str">
        <f ca="1">IF(B72="","",step01标题尺码信息!$S$1)</f>
        <v/>
      </c>
      <c r="V72" t="str">
        <f ca="1" t="shared" si="49"/>
        <v/>
      </c>
      <c r="W72" t="str">
        <f ca="1">IF(B72="","",step01标题尺码信息!$V$1)</f>
        <v/>
      </c>
      <c r="X72" t="str">
        <f ca="1">IF(B72="","",step01标题尺码信息!$V$2)</f>
        <v/>
      </c>
      <c r="Y72" t="str">
        <f ca="1" t="shared" si="50"/>
        <v/>
      </c>
      <c r="Z72" t="str">
        <f ca="1" t="shared" si="51"/>
        <v/>
      </c>
      <c r="AA72" t="str">
        <f ca="1">IF(B72="","",IF(CB72="Parent","",VLOOKUP(B72,step01标题尺码信息!G:P,9,0)))</f>
        <v/>
      </c>
      <c r="AG72" t="str">
        <f ca="1" t="shared" si="65"/>
        <v/>
      </c>
      <c r="AH72" t="str">
        <f ca="1" t="shared" si="66"/>
        <v/>
      </c>
      <c r="AI72" t="str">
        <f ca="1">IF(OR(B72="",VLOOKUP(BH72,step02图片链接!B:E,4,0)=""),"",VLOOKUP(BH72,step02图片链接!B:E,4,0))</f>
        <v/>
      </c>
      <c r="AJ72" t="str">
        <f ca="1">IF(OR(B72="",VLOOKUP(BH72,step02图片链接!B:G,6,0)=""),"",VLOOKUP(BH72,step02图片链接!B:G,6,0))</f>
        <v/>
      </c>
      <c r="AK72" t="str">
        <f ca="1">IF(OR(B72="",VLOOKUP(BH72,step02图片链接!B:H,7,0)=""),"",VLOOKUP(BH72,step02图片链接!B:H,7,0))</f>
        <v/>
      </c>
      <c r="AL72" t="str">
        <f ca="1">IF(OR(B72="",VLOOKUP(BH72,step02图片链接!B:I,8,0)=""),"",VLOOKUP(BH72,step02图片链接!B:I,8,0))</f>
        <v/>
      </c>
      <c r="AM72" t="str">
        <f ca="1">IF(OR(B72="",VLOOKUP(BH72,step02图片链接!B:J,9,0)=""),"",VLOOKUP(BH72,step02图片链接!B:J,9,0))</f>
        <v/>
      </c>
      <c r="AN72" t="str">
        <f ca="1">IF(OR(B72="",VLOOKUP(BH72,step02图片链接!B:K,10,0)=""),"",VLOOKUP(BH72,step02图片链接!B:K,10,0))</f>
        <v/>
      </c>
      <c r="AO72" t="str">
        <f ca="1">IF(OR(B72="",VLOOKUP(BH72,step02图片链接!B:L,11,0)=""),"",VLOOKUP(BH72,step02图片链接!B:L,11,0))</f>
        <v/>
      </c>
      <c r="AP72" t="str">
        <f ca="1">IF(OR(B72="",VLOOKUP(BH72,step02图片链接!B:M,12,0)=""),"",VLOOKUP(BH72,step02图片链接!B:M,12,0))</f>
        <v/>
      </c>
      <c r="AQ72" t="str">
        <f ca="1">IF(OR(B72="",VLOOKUP(BH72,step02图片链接!B:N,13,0)=""),"",VLOOKUP(BH72,step02图片链接!B:N,13,0))</f>
        <v/>
      </c>
      <c r="AS72" t="str">
        <f ca="1" t="shared" si="67"/>
        <v/>
      </c>
      <c r="AT72" t="str">
        <f ca="1" t="shared" si="68"/>
        <v/>
      </c>
      <c r="AU72" t="str">
        <f ca="1" t="shared" si="52"/>
        <v/>
      </c>
      <c r="AV72" t="str">
        <f ca="1">IF(B72="","",step01标题尺码信息!$T$36)</f>
        <v/>
      </c>
      <c r="AZ72" t="str">
        <f ca="1">IF(B72="","",step01标题尺码信息!$S$41)</f>
        <v/>
      </c>
      <c r="BA72" t="str">
        <f ca="1">IF(B72="","",step01标题尺码信息!$S$43)</f>
        <v/>
      </c>
      <c r="BB72" t="str">
        <f ca="1">IF(B72="","",step01标题尺码信息!$S$45)</f>
        <v/>
      </c>
      <c r="BC72" t="str">
        <f ca="1">IF(B72="","",step01标题尺码信息!$S$47)</f>
        <v/>
      </c>
      <c r="BD72" t="str">
        <f ca="1">IF(B72="","",step01标题尺码信息!$S$49)</f>
        <v/>
      </c>
      <c r="BE72" t="str">
        <f ca="1">IF(B72="","",step01标题尺码信息!$S$53)</f>
        <v/>
      </c>
      <c r="BH72" t="str">
        <f ca="1">IF(B72="","",IF(DX72="Parent","",VLOOKUP(B72,step01标题尺码信息!G:P,7,0)))</f>
        <v/>
      </c>
      <c r="BI72" t="str">
        <f ca="1">IF(B72="","",IF(DX72="Parent","",VLOOKUP(B72,step01标题尺码信息!G:P,8,0)))</f>
        <v/>
      </c>
      <c r="BK72" t="str">
        <f ca="1" t="shared" si="53"/>
        <v/>
      </c>
      <c r="BL72" t="str">
        <f ca="1" t="shared" si="54"/>
        <v/>
      </c>
      <c r="BO72" t="str">
        <f ca="1" t="shared" si="55"/>
        <v/>
      </c>
      <c r="BR72" t="str">
        <f ca="1">IF(B72="","",IF(AS72="Parent","",VLOOKUP(B72,step01标题尺码信息!G:P,9,0)))</f>
        <v/>
      </c>
      <c r="CY72" t="str">
        <f ca="1" t="shared" si="56"/>
        <v/>
      </c>
      <c r="DG72" t="str">
        <f ca="1">IF(B72="","",step01标题尺码信息!$T$30)</f>
        <v/>
      </c>
      <c r="DH72" t="str">
        <f ca="1" t="shared" si="57"/>
        <v/>
      </c>
      <c r="DN72" t="str">
        <f ca="1" t="shared" si="58"/>
        <v/>
      </c>
      <c r="DW72" t="str">
        <f ca="1" t="shared" si="59"/>
        <v/>
      </c>
      <c r="ER72" t="str">
        <f ca="1">IF(B72="","",step01标题尺码信息!$T$37)</f>
        <v/>
      </c>
      <c r="ES72" t="str">
        <f ca="1" t="shared" si="60"/>
        <v/>
      </c>
      <c r="HF72" t="str">
        <f ca="1">IF(B72="","",step01标题尺码信息!$S$2)</f>
        <v/>
      </c>
      <c r="HH72" t="str">
        <f ca="1" t="shared" si="61"/>
        <v/>
      </c>
      <c r="HI72" t="str">
        <f ca="1" t="shared" si="62"/>
        <v/>
      </c>
      <c r="HL72" t="str">
        <f ca="1" t="shared" si="63"/>
        <v/>
      </c>
      <c r="IA72" t="str">
        <f ca="1" t="shared" si="64"/>
        <v/>
      </c>
    </row>
    <row r="73" spans="1:235">
      <c r="A73" t="str">
        <f ca="1">IF(B73="","",step01标题尺码信息!$B$3)</f>
        <v/>
      </c>
      <c r="B73" t="str">
        <f ca="1">IF(step01标题尺码信息!G75="","",step01标题尺码信息!G75)</f>
        <v/>
      </c>
      <c r="C73" t="str">
        <f ca="1">IF(B73="","",step01标题尺码信息!$E$3)</f>
        <v/>
      </c>
      <c r="D73" t="str">
        <f ca="1" t="shared" si="46"/>
        <v/>
      </c>
      <c r="E73" t="str">
        <f ca="1">IF(B73="","",VLOOKUP(B73,step01标题尺码信息!G:P,4,0))</f>
        <v/>
      </c>
      <c r="H73" t="str">
        <f ca="1">IF(B73="","",step01标题尺码信息!$R$19)</f>
        <v/>
      </c>
      <c r="I73" t="str">
        <f ca="1" t="shared" si="47"/>
        <v/>
      </c>
      <c r="M73" t="str">
        <f ca="1" t="shared" si="48"/>
        <v/>
      </c>
      <c r="U73" t="str">
        <f ca="1">IF(B73="","",step01标题尺码信息!$S$1)</f>
        <v/>
      </c>
      <c r="V73" t="str">
        <f ca="1" t="shared" si="49"/>
        <v/>
      </c>
      <c r="W73" t="str">
        <f ca="1">IF(B73="","",step01标题尺码信息!$V$1)</f>
        <v/>
      </c>
      <c r="X73" t="str">
        <f ca="1">IF(B73="","",step01标题尺码信息!$V$2)</f>
        <v/>
      </c>
      <c r="Y73" t="str">
        <f ca="1" t="shared" si="50"/>
        <v/>
      </c>
      <c r="Z73" t="str">
        <f ca="1" t="shared" si="51"/>
        <v/>
      </c>
      <c r="AA73" t="str">
        <f ca="1">IF(B73="","",IF(CB73="Parent","",VLOOKUP(B73,step01标题尺码信息!G:P,9,0)))</f>
        <v/>
      </c>
      <c r="AG73" t="str">
        <f ca="1" t="shared" si="65"/>
        <v/>
      </c>
      <c r="AH73" t="str">
        <f ca="1" t="shared" si="66"/>
        <v/>
      </c>
      <c r="AI73" t="str">
        <f ca="1">IF(OR(B73="",VLOOKUP(BH73,step02图片链接!B:E,4,0)=""),"",VLOOKUP(BH73,step02图片链接!B:E,4,0))</f>
        <v/>
      </c>
      <c r="AJ73" t="str">
        <f ca="1">IF(OR(B73="",VLOOKUP(BH73,step02图片链接!B:G,6,0)=""),"",VLOOKUP(BH73,step02图片链接!B:G,6,0))</f>
        <v/>
      </c>
      <c r="AK73" t="str">
        <f ca="1">IF(OR(B73="",VLOOKUP(BH73,step02图片链接!B:H,7,0)=""),"",VLOOKUP(BH73,step02图片链接!B:H,7,0))</f>
        <v/>
      </c>
      <c r="AL73" t="str">
        <f ca="1">IF(OR(B73="",VLOOKUP(BH73,step02图片链接!B:I,8,0)=""),"",VLOOKUP(BH73,step02图片链接!B:I,8,0))</f>
        <v/>
      </c>
      <c r="AM73" t="str">
        <f ca="1">IF(OR(B73="",VLOOKUP(BH73,step02图片链接!B:J,9,0)=""),"",VLOOKUP(BH73,step02图片链接!B:J,9,0))</f>
        <v/>
      </c>
      <c r="AN73" t="str">
        <f ca="1">IF(OR(B73="",VLOOKUP(BH73,step02图片链接!B:K,10,0)=""),"",VLOOKUP(BH73,step02图片链接!B:K,10,0))</f>
        <v/>
      </c>
      <c r="AO73" t="str">
        <f ca="1">IF(OR(B73="",VLOOKUP(BH73,step02图片链接!B:L,11,0)=""),"",VLOOKUP(BH73,step02图片链接!B:L,11,0))</f>
        <v/>
      </c>
      <c r="AP73" t="str">
        <f ca="1">IF(OR(B73="",VLOOKUP(BH73,step02图片链接!B:M,12,0)=""),"",VLOOKUP(BH73,step02图片链接!B:M,12,0))</f>
        <v/>
      </c>
      <c r="AQ73" t="str">
        <f ca="1">IF(OR(B73="",VLOOKUP(BH73,step02图片链接!B:N,13,0)=""),"",VLOOKUP(BH73,step02图片链接!B:N,13,0))</f>
        <v/>
      </c>
      <c r="AS73" t="str">
        <f ca="1" t="shared" si="67"/>
        <v/>
      </c>
      <c r="AT73" t="str">
        <f ca="1" t="shared" si="68"/>
        <v/>
      </c>
      <c r="AU73" t="str">
        <f ca="1" t="shared" si="52"/>
        <v/>
      </c>
      <c r="AV73" t="str">
        <f ca="1">IF(B73="","",step01标题尺码信息!$T$36)</f>
        <v/>
      </c>
      <c r="AZ73" t="str">
        <f ca="1">IF(B73="","",step01标题尺码信息!$S$41)</f>
        <v/>
      </c>
      <c r="BA73" t="str">
        <f ca="1">IF(B73="","",step01标题尺码信息!$S$43)</f>
        <v/>
      </c>
      <c r="BB73" t="str">
        <f ca="1">IF(B73="","",step01标题尺码信息!$S$45)</f>
        <v/>
      </c>
      <c r="BC73" t="str">
        <f ca="1">IF(B73="","",step01标题尺码信息!$S$47)</f>
        <v/>
      </c>
      <c r="BD73" t="str">
        <f ca="1">IF(B73="","",step01标题尺码信息!$S$49)</f>
        <v/>
      </c>
      <c r="BE73" t="str">
        <f ca="1">IF(B73="","",step01标题尺码信息!$S$53)</f>
        <v/>
      </c>
      <c r="BH73" t="str">
        <f ca="1">IF(B73="","",IF(DX73="Parent","",VLOOKUP(B73,step01标题尺码信息!G:P,7,0)))</f>
        <v/>
      </c>
      <c r="BI73" t="str">
        <f ca="1">IF(B73="","",IF(DX73="Parent","",VLOOKUP(B73,step01标题尺码信息!G:P,8,0)))</f>
        <v/>
      </c>
      <c r="BK73" t="str">
        <f ca="1" t="shared" si="53"/>
        <v/>
      </c>
      <c r="BL73" t="str">
        <f ca="1" t="shared" si="54"/>
        <v/>
      </c>
      <c r="BO73" t="str">
        <f ca="1" t="shared" si="55"/>
        <v/>
      </c>
      <c r="BR73" t="str">
        <f ca="1">IF(B73="","",IF(AS73="Parent","",VLOOKUP(B73,step01标题尺码信息!G:P,9,0)))</f>
        <v/>
      </c>
      <c r="CY73" t="str">
        <f ca="1" t="shared" si="56"/>
        <v/>
      </c>
      <c r="DG73" t="str">
        <f ca="1">IF(B73="","",step01标题尺码信息!$T$30)</f>
        <v/>
      </c>
      <c r="DH73" t="str">
        <f ca="1" t="shared" si="57"/>
        <v/>
      </c>
      <c r="DN73" t="str">
        <f ca="1" t="shared" si="58"/>
        <v/>
      </c>
      <c r="DW73" t="str">
        <f ca="1" t="shared" si="59"/>
        <v/>
      </c>
      <c r="ER73" t="str">
        <f ca="1">IF(B73="","",step01标题尺码信息!$T$37)</f>
        <v/>
      </c>
      <c r="ES73" t="str">
        <f ca="1" t="shared" si="60"/>
        <v/>
      </c>
      <c r="HF73" t="str">
        <f ca="1">IF(B73="","",step01标题尺码信息!$S$2)</f>
        <v/>
      </c>
      <c r="HH73" t="str">
        <f ca="1" t="shared" si="61"/>
        <v/>
      </c>
      <c r="HI73" t="str">
        <f ca="1" t="shared" si="62"/>
        <v/>
      </c>
      <c r="HL73" t="str">
        <f ca="1" t="shared" si="63"/>
        <v/>
      </c>
      <c r="IA73" t="str">
        <f ca="1" t="shared" si="64"/>
        <v/>
      </c>
    </row>
    <row r="74" spans="1:235">
      <c r="A74" t="str">
        <f ca="1">IF(B74="","",step01标题尺码信息!$B$3)</f>
        <v/>
      </c>
      <c r="B74" t="str">
        <f ca="1">IF(step01标题尺码信息!G76="","",step01标题尺码信息!G76)</f>
        <v/>
      </c>
      <c r="C74" t="str">
        <f ca="1">IF(B74="","",step01标题尺码信息!$E$3)</f>
        <v/>
      </c>
      <c r="D74" t="str">
        <f ca="1" t="shared" si="46"/>
        <v/>
      </c>
      <c r="E74" t="str">
        <f ca="1">IF(B74="","",VLOOKUP(B74,step01标题尺码信息!G:P,4,0))</f>
        <v/>
      </c>
      <c r="H74" t="str">
        <f ca="1">IF(B74="","",step01标题尺码信息!$R$19)</f>
        <v/>
      </c>
      <c r="I74" t="str">
        <f ca="1" t="shared" si="47"/>
        <v/>
      </c>
      <c r="M74" t="str">
        <f ca="1" t="shared" si="48"/>
        <v/>
      </c>
      <c r="U74" t="str">
        <f ca="1">IF(B74="","",step01标题尺码信息!$S$1)</f>
        <v/>
      </c>
      <c r="V74" t="str">
        <f ca="1" t="shared" si="49"/>
        <v/>
      </c>
      <c r="W74" t="str">
        <f ca="1">IF(B74="","",step01标题尺码信息!$V$1)</f>
        <v/>
      </c>
      <c r="X74" t="str">
        <f ca="1">IF(B74="","",step01标题尺码信息!$V$2)</f>
        <v/>
      </c>
      <c r="Y74" t="str">
        <f ca="1" t="shared" si="50"/>
        <v/>
      </c>
      <c r="Z74" t="str">
        <f ca="1" t="shared" si="51"/>
        <v/>
      </c>
      <c r="AA74" t="str">
        <f ca="1">IF(B74="","",IF(CB74="Parent","",VLOOKUP(B74,step01标题尺码信息!G:P,9,0)))</f>
        <v/>
      </c>
      <c r="AG74" t="str">
        <f ca="1" t="shared" si="65"/>
        <v/>
      </c>
      <c r="AH74" t="str">
        <f ca="1" t="shared" si="66"/>
        <v/>
      </c>
      <c r="AI74" t="str">
        <f ca="1">IF(OR(B74="",VLOOKUP(BH74,step02图片链接!B:E,4,0)=""),"",VLOOKUP(BH74,step02图片链接!B:E,4,0))</f>
        <v/>
      </c>
      <c r="AJ74" t="str">
        <f ca="1">IF(OR(B74="",VLOOKUP(BH74,step02图片链接!B:G,6,0)=""),"",VLOOKUP(BH74,step02图片链接!B:G,6,0))</f>
        <v/>
      </c>
      <c r="AK74" t="str">
        <f ca="1">IF(OR(B74="",VLOOKUP(BH74,step02图片链接!B:H,7,0)=""),"",VLOOKUP(BH74,step02图片链接!B:H,7,0))</f>
        <v/>
      </c>
      <c r="AL74" t="str">
        <f ca="1">IF(OR(B74="",VLOOKUP(BH74,step02图片链接!B:I,8,0)=""),"",VLOOKUP(BH74,step02图片链接!B:I,8,0))</f>
        <v/>
      </c>
      <c r="AM74" t="str">
        <f ca="1">IF(OR(B74="",VLOOKUP(BH74,step02图片链接!B:J,9,0)=""),"",VLOOKUP(BH74,step02图片链接!B:J,9,0))</f>
        <v/>
      </c>
      <c r="AN74" t="str">
        <f ca="1">IF(OR(B74="",VLOOKUP(BH74,step02图片链接!B:K,10,0)=""),"",VLOOKUP(BH74,step02图片链接!B:K,10,0))</f>
        <v/>
      </c>
      <c r="AO74" t="str">
        <f ca="1">IF(OR(B74="",VLOOKUP(BH74,step02图片链接!B:L,11,0)=""),"",VLOOKUP(BH74,step02图片链接!B:L,11,0))</f>
        <v/>
      </c>
      <c r="AP74" t="str">
        <f ca="1">IF(OR(B74="",VLOOKUP(BH74,step02图片链接!B:M,12,0)=""),"",VLOOKUP(BH74,step02图片链接!B:M,12,0))</f>
        <v/>
      </c>
      <c r="AQ74" t="str">
        <f ca="1">IF(OR(B74="",VLOOKUP(BH74,step02图片链接!B:N,13,0)=""),"",VLOOKUP(BH74,step02图片链接!B:N,13,0))</f>
        <v/>
      </c>
      <c r="AS74" t="str">
        <f ca="1" t="shared" si="67"/>
        <v/>
      </c>
      <c r="AT74" t="str">
        <f ca="1" t="shared" si="68"/>
        <v/>
      </c>
      <c r="AU74" t="str">
        <f ca="1" t="shared" si="52"/>
        <v/>
      </c>
      <c r="AV74" t="str">
        <f ca="1">IF(B74="","",step01标题尺码信息!$T$36)</f>
        <v/>
      </c>
      <c r="AZ74" t="str">
        <f ca="1">IF(B74="","",step01标题尺码信息!$S$41)</f>
        <v/>
      </c>
      <c r="BA74" t="str">
        <f ca="1">IF(B74="","",step01标题尺码信息!$S$43)</f>
        <v/>
      </c>
      <c r="BB74" t="str">
        <f ca="1">IF(B74="","",step01标题尺码信息!$S$45)</f>
        <v/>
      </c>
      <c r="BC74" t="str">
        <f ca="1">IF(B74="","",step01标题尺码信息!$S$47)</f>
        <v/>
      </c>
      <c r="BD74" t="str">
        <f ca="1">IF(B74="","",step01标题尺码信息!$S$49)</f>
        <v/>
      </c>
      <c r="BE74" t="str">
        <f ca="1">IF(B74="","",step01标题尺码信息!$S$53)</f>
        <v/>
      </c>
      <c r="BH74" t="str">
        <f ca="1">IF(B74="","",IF(DX74="Parent","",VLOOKUP(B74,step01标题尺码信息!G:P,7,0)))</f>
        <v/>
      </c>
      <c r="BI74" t="str">
        <f ca="1">IF(B74="","",IF(DX74="Parent","",VLOOKUP(B74,step01标题尺码信息!G:P,8,0)))</f>
        <v/>
      </c>
      <c r="BK74" t="str">
        <f ca="1" t="shared" si="53"/>
        <v/>
      </c>
      <c r="BL74" t="str">
        <f ca="1" t="shared" si="54"/>
        <v/>
      </c>
      <c r="BO74" t="str">
        <f ca="1" t="shared" si="55"/>
        <v/>
      </c>
      <c r="BR74" t="str">
        <f ca="1">IF(B74="","",IF(AS74="Parent","",VLOOKUP(B74,step01标题尺码信息!G:P,9,0)))</f>
        <v/>
      </c>
      <c r="CY74" t="str">
        <f ca="1" t="shared" si="56"/>
        <v/>
      </c>
      <c r="DG74" t="str">
        <f ca="1">IF(B74="","",step01标题尺码信息!$T$30)</f>
        <v/>
      </c>
      <c r="DH74" t="str">
        <f ca="1" t="shared" si="57"/>
        <v/>
      </c>
      <c r="DN74" t="str">
        <f ca="1" t="shared" si="58"/>
        <v/>
      </c>
      <c r="DW74" t="str">
        <f ca="1" t="shared" si="59"/>
        <v/>
      </c>
      <c r="ER74" t="str">
        <f ca="1">IF(B74="","",step01标题尺码信息!$T$37)</f>
        <v/>
      </c>
      <c r="ES74" t="str">
        <f ca="1" t="shared" si="60"/>
        <v/>
      </c>
      <c r="HF74" t="str">
        <f ca="1">IF(B74="","",step01标题尺码信息!$S$2)</f>
        <v/>
      </c>
      <c r="HH74" t="str">
        <f ca="1" t="shared" si="61"/>
        <v/>
      </c>
      <c r="HI74" t="str">
        <f ca="1" t="shared" si="62"/>
        <v/>
      </c>
      <c r="HL74" t="str">
        <f ca="1" t="shared" si="63"/>
        <v/>
      </c>
      <c r="IA74" t="str">
        <f ca="1" t="shared" si="64"/>
        <v/>
      </c>
    </row>
    <row r="75" spans="1:235">
      <c r="A75" t="str">
        <f ca="1">IF(B75="","",step01标题尺码信息!$B$3)</f>
        <v/>
      </c>
      <c r="B75" t="str">
        <f ca="1">IF(step01标题尺码信息!G77="","",step01标题尺码信息!G77)</f>
        <v/>
      </c>
      <c r="C75" t="str">
        <f ca="1">IF(B75="","",step01标题尺码信息!$E$3)</f>
        <v/>
      </c>
      <c r="D75" t="str">
        <f ca="1" t="shared" si="46"/>
        <v/>
      </c>
      <c r="E75" t="str">
        <f ca="1">IF(B75="","",VLOOKUP(B75,step01标题尺码信息!G:P,4,0))</f>
        <v/>
      </c>
      <c r="H75" t="str">
        <f ca="1">IF(B75="","",step01标题尺码信息!$R$19)</f>
        <v/>
      </c>
      <c r="I75" t="str">
        <f ca="1" t="shared" si="47"/>
        <v/>
      </c>
      <c r="M75" t="str">
        <f ca="1" t="shared" si="48"/>
        <v/>
      </c>
      <c r="U75" t="str">
        <f ca="1">IF(B75="","",step01标题尺码信息!$S$1)</f>
        <v/>
      </c>
      <c r="V75" t="str">
        <f ca="1" t="shared" si="49"/>
        <v/>
      </c>
      <c r="W75" t="str">
        <f ca="1">IF(B75="","",step01标题尺码信息!$V$1)</f>
        <v/>
      </c>
      <c r="X75" t="str">
        <f ca="1">IF(B75="","",step01标题尺码信息!$V$2)</f>
        <v/>
      </c>
      <c r="Y75" t="str">
        <f ca="1" t="shared" si="50"/>
        <v/>
      </c>
      <c r="Z75" t="str">
        <f ca="1" t="shared" si="51"/>
        <v/>
      </c>
      <c r="AA75" t="str">
        <f ca="1">IF(B75="","",IF(CB75="Parent","",VLOOKUP(B75,step01标题尺码信息!G:P,9,0)))</f>
        <v/>
      </c>
      <c r="AG75" t="str">
        <f ca="1" t="shared" si="65"/>
        <v/>
      </c>
      <c r="AH75" t="str">
        <f ca="1" t="shared" si="66"/>
        <v/>
      </c>
      <c r="AI75" t="str">
        <f ca="1">IF(OR(B75="",VLOOKUP(BH75,step02图片链接!B:E,4,0)=""),"",VLOOKUP(BH75,step02图片链接!B:E,4,0))</f>
        <v/>
      </c>
      <c r="AJ75" t="str">
        <f ca="1">IF(OR(B75="",VLOOKUP(BH75,step02图片链接!B:G,6,0)=""),"",VLOOKUP(BH75,step02图片链接!B:G,6,0))</f>
        <v/>
      </c>
      <c r="AK75" t="str">
        <f ca="1">IF(OR(B75="",VLOOKUP(BH75,step02图片链接!B:H,7,0)=""),"",VLOOKUP(BH75,step02图片链接!B:H,7,0))</f>
        <v/>
      </c>
      <c r="AL75" t="str">
        <f ca="1">IF(OR(B75="",VLOOKUP(BH75,step02图片链接!B:I,8,0)=""),"",VLOOKUP(BH75,step02图片链接!B:I,8,0))</f>
        <v/>
      </c>
      <c r="AM75" t="str">
        <f ca="1">IF(OR(B75="",VLOOKUP(BH75,step02图片链接!B:J,9,0)=""),"",VLOOKUP(BH75,step02图片链接!B:J,9,0))</f>
        <v/>
      </c>
      <c r="AN75" t="str">
        <f ca="1">IF(OR(B75="",VLOOKUP(BH75,step02图片链接!B:K,10,0)=""),"",VLOOKUP(BH75,step02图片链接!B:K,10,0))</f>
        <v/>
      </c>
      <c r="AO75" t="str">
        <f ca="1">IF(OR(B75="",VLOOKUP(BH75,step02图片链接!B:L,11,0)=""),"",VLOOKUP(BH75,step02图片链接!B:L,11,0))</f>
        <v/>
      </c>
      <c r="AP75" t="str">
        <f ca="1">IF(OR(B75="",VLOOKUP(BH75,step02图片链接!B:M,12,0)=""),"",VLOOKUP(BH75,step02图片链接!B:M,12,0))</f>
        <v/>
      </c>
      <c r="AQ75" t="str">
        <f ca="1">IF(OR(B75="",VLOOKUP(BH75,step02图片链接!B:N,13,0)=""),"",VLOOKUP(BH75,step02图片链接!B:N,13,0))</f>
        <v/>
      </c>
      <c r="AS75" t="str">
        <f ca="1" t="shared" si="67"/>
        <v/>
      </c>
      <c r="AT75" t="str">
        <f ca="1" t="shared" si="68"/>
        <v/>
      </c>
      <c r="AU75" t="str">
        <f ca="1" t="shared" si="52"/>
        <v/>
      </c>
      <c r="AV75" t="str">
        <f ca="1">IF(B75="","",step01标题尺码信息!$T$36)</f>
        <v/>
      </c>
      <c r="AZ75" t="str">
        <f ca="1">IF(B75="","",step01标题尺码信息!$S$41)</f>
        <v/>
      </c>
      <c r="BA75" t="str">
        <f ca="1">IF(B75="","",step01标题尺码信息!$S$43)</f>
        <v/>
      </c>
      <c r="BB75" t="str">
        <f ca="1">IF(B75="","",step01标题尺码信息!$S$45)</f>
        <v/>
      </c>
      <c r="BC75" t="str">
        <f ca="1">IF(B75="","",step01标题尺码信息!$S$47)</f>
        <v/>
      </c>
      <c r="BD75" t="str">
        <f ca="1">IF(B75="","",step01标题尺码信息!$S$49)</f>
        <v/>
      </c>
      <c r="BE75" t="str">
        <f ca="1">IF(B75="","",step01标题尺码信息!$S$53)</f>
        <v/>
      </c>
      <c r="BH75" t="str">
        <f ca="1">IF(B75="","",IF(DX75="Parent","",VLOOKUP(B75,step01标题尺码信息!G:P,7,0)))</f>
        <v/>
      </c>
      <c r="BI75" t="str">
        <f ca="1">IF(B75="","",IF(DX75="Parent","",VLOOKUP(B75,step01标题尺码信息!G:P,8,0)))</f>
        <v/>
      </c>
      <c r="BK75" t="str">
        <f ca="1" t="shared" si="53"/>
        <v/>
      </c>
      <c r="BL75" t="str">
        <f ca="1" t="shared" si="54"/>
        <v/>
      </c>
      <c r="BO75" t="str">
        <f ca="1" t="shared" si="55"/>
        <v/>
      </c>
      <c r="BR75" t="str">
        <f ca="1">IF(B75="","",IF(AS75="Parent","",VLOOKUP(B75,step01标题尺码信息!G:P,9,0)))</f>
        <v/>
      </c>
      <c r="CY75" t="str">
        <f ca="1" t="shared" si="56"/>
        <v/>
      </c>
      <c r="DG75" t="str">
        <f ca="1">IF(B75="","",step01标题尺码信息!$T$30)</f>
        <v/>
      </c>
      <c r="DH75" t="str">
        <f ca="1" t="shared" si="57"/>
        <v/>
      </c>
      <c r="DN75" t="str">
        <f ca="1" t="shared" si="58"/>
        <v/>
      </c>
      <c r="DW75" t="str">
        <f ca="1" t="shared" si="59"/>
        <v/>
      </c>
      <c r="ER75" t="str">
        <f ca="1">IF(B75="","",step01标题尺码信息!$T$37)</f>
        <v/>
      </c>
      <c r="ES75" t="str">
        <f ca="1" t="shared" si="60"/>
        <v/>
      </c>
      <c r="HF75" t="str">
        <f ca="1">IF(B75="","",step01标题尺码信息!$S$2)</f>
        <v/>
      </c>
      <c r="HH75" t="str">
        <f ca="1" t="shared" si="61"/>
        <v/>
      </c>
      <c r="HI75" t="str">
        <f ca="1" t="shared" si="62"/>
        <v/>
      </c>
      <c r="HL75" t="str">
        <f ca="1" t="shared" si="63"/>
        <v/>
      </c>
      <c r="IA75" t="str">
        <f ca="1" t="shared" si="64"/>
        <v/>
      </c>
    </row>
    <row r="76" spans="1:235">
      <c r="A76" t="str">
        <f ca="1">IF(B76="","",step01标题尺码信息!$B$3)</f>
        <v/>
      </c>
      <c r="B76" t="str">
        <f ca="1">IF(step01标题尺码信息!G78="","",step01标题尺码信息!G78)</f>
        <v/>
      </c>
      <c r="C76" t="str">
        <f ca="1">IF(B76="","",step01标题尺码信息!$E$3)</f>
        <v/>
      </c>
      <c r="D76" t="str">
        <f ca="1" t="shared" si="46"/>
        <v/>
      </c>
      <c r="E76" t="str">
        <f ca="1">IF(B76="","",VLOOKUP(B76,step01标题尺码信息!G:P,4,0))</f>
        <v/>
      </c>
      <c r="H76" t="str">
        <f ca="1">IF(B76="","",step01标题尺码信息!$R$19)</f>
        <v/>
      </c>
      <c r="I76" t="str">
        <f ca="1" t="shared" si="47"/>
        <v/>
      </c>
      <c r="M76" t="str">
        <f ca="1" t="shared" si="48"/>
        <v/>
      </c>
      <c r="U76" t="str">
        <f ca="1">IF(B76="","",step01标题尺码信息!$S$1)</f>
        <v/>
      </c>
      <c r="V76" t="str">
        <f ca="1" t="shared" si="49"/>
        <v/>
      </c>
      <c r="W76" t="str">
        <f ca="1">IF(B76="","",step01标题尺码信息!$V$1)</f>
        <v/>
      </c>
      <c r="X76" t="str">
        <f ca="1">IF(B76="","",step01标题尺码信息!$V$2)</f>
        <v/>
      </c>
      <c r="Y76" t="str">
        <f ca="1" t="shared" si="50"/>
        <v/>
      </c>
      <c r="Z76" t="str">
        <f ca="1" t="shared" si="51"/>
        <v/>
      </c>
      <c r="AA76" t="str">
        <f ca="1">IF(B76="","",IF(CB76="Parent","",VLOOKUP(B76,step01标题尺码信息!G:P,9,0)))</f>
        <v/>
      </c>
      <c r="AG76" t="str">
        <f ca="1" t="shared" si="65"/>
        <v/>
      </c>
      <c r="AH76" t="str">
        <f ca="1" t="shared" si="66"/>
        <v/>
      </c>
      <c r="AI76" t="str">
        <f ca="1">IF(OR(B76="",VLOOKUP(BH76,step02图片链接!B:E,4,0)=""),"",VLOOKUP(BH76,step02图片链接!B:E,4,0))</f>
        <v/>
      </c>
      <c r="AJ76" t="str">
        <f ca="1">IF(OR(B76="",VLOOKUP(BH76,step02图片链接!B:G,6,0)=""),"",VLOOKUP(BH76,step02图片链接!B:G,6,0))</f>
        <v/>
      </c>
      <c r="AK76" t="str">
        <f ca="1">IF(OR(B76="",VLOOKUP(BH76,step02图片链接!B:H,7,0)=""),"",VLOOKUP(BH76,step02图片链接!B:H,7,0))</f>
        <v/>
      </c>
      <c r="AL76" t="str">
        <f ca="1">IF(OR(B76="",VLOOKUP(BH76,step02图片链接!B:I,8,0)=""),"",VLOOKUP(BH76,step02图片链接!B:I,8,0))</f>
        <v/>
      </c>
      <c r="AM76" t="str">
        <f ca="1">IF(OR(B76="",VLOOKUP(BH76,step02图片链接!B:J,9,0)=""),"",VLOOKUP(BH76,step02图片链接!B:J,9,0))</f>
        <v/>
      </c>
      <c r="AN76" t="str">
        <f ca="1">IF(OR(B76="",VLOOKUP(BH76,step02图片链接!B:K,10,0)=""),"",VLOOKUP(BH76,step02图片链接!B:K,10,0))</f>
        <v/>
      </c>
      <c r="AO76" t="str">
        <f ca="1">IF(OR(B76="",VLOOKUP(BH76,step02图片链接!B:L,11,0)=""),"",VLOOKUP(BH76,step02图片链接!B:L,11,0))</f>
        <v/>
      </c>
      <c r="AP76" t="str">
        <f ca="1">IF(OR(B76="",VLOOKUP(BH76,step02图片链接!B:M,12,0)=""),"",VLOOKUP(BH76,step02图片链接!B:M,12,0))</f>
        <v/>
      </c>
      <c r="AQ76" t="str">
        <f ca="1">IF(OR(B76="",VLOOKUP(BH76,step02图片链接!B:N,13,0)=""),"",VLOOKUP(BH76,step02图片链接!B:N,13,0))</f>
        <v/>
      </c>
      <c r="AS76" t="str">
        <f ca="1" t="shared" si="67"/>
        <v/>
      </c>
      <c r="AT76" t="str">
        <f ca="1" t="shared" si="68"/>
        <v/>
      </c>
      <c r="AU76" t="str">
        <f ca="1" t="shared" si="52"/>
        <v/>
      </c>
      <c r="AV76" t="str">
        <f ca="1">IF(B76="","",step01标题尺码信息!$T$36)</f>
        <v/>
      </c>
      <c r="AZ76" t="str">
        <f ca="1">IF(B76="","",step01标题尺码信息!$S$41)</f>
        <v/>
      </c>
      <c r="BA76" t="str">
        <f ca="1">IF(B76="","",step01标题尺码信息!$S$43)</f>
        <v/>
      </c>
      <c r="BB76" t="str">
        <f ca="1">IF(B76="","",step01标题尺码信息!$S$45)</f>
        <v/>
      </c>
      <c r="BC76" t="str">
        <f ca="1">IF(B76="","",step01标题尺码信息!$S$47)</f>
        <v/>
      </c>
      <c r="BD76" t="str">
        <f ca="1">IF(B76="","",step01标题尺码信息!$S$49)</f>
        <v/>
      </c>
      <c r="BE76" t="str">
        <f ca="1">IF(B76="","",step01标题尺码信息!$S$53)</f>
        <v/>
      </c>
      <c r="BH76" t="str">
        <f ca="1">IF(B76="","",IF(DX76="Parent","",VLOOKUP(B76,step01标题尺码信息!G:P,7,0)))</f>
        <v/>
      </c>
      <c r="BI76" t="str">
        <f ca="1">IF(B76="","",IF(DX76="Parent","",VLOOKUP(B76,step01标题尺码信息!G:P,8,0)))</f>
        <v/>
      </c>
      <c r="BK76" t="str">
        <f ca="1" t="shared" si="53"/>
        <v/>
      </c>
      <c r="BL76" t="str">
        <f ca="1" t="shared" si="54"/>
        <v/>
      </c>
      <c r="BO76" t="str">
        <f ca="1" t="shared" si="55"/>
        <v/>
      </c>
      <c r="BR76" t="str">
        <f ca="1">IF(B76="","",IF(AS76="Parent","",VLOOKUP(B76,step01标题尺码信息!G:P,9,0)))</f>
        <v/>
      </c>
      <c r="CY76" t="str">
        <f ca="1" t="shared" si="56"/>
        <v/>
      </c>
      <c r="DG76" t="str">
        <f ca="1">IF(B76="","",step01标题尺码信息!$T$30)</f>
        <v/>
      </c>
      <c r="DH76" t="str">
        <f ca="1" t="shared" si="57"/>
        <v/>
      </c>
      <c r="DN76" t="str">
        <f ca="1" t="shared" si="58"/>
        <v/>
      </c>
      <c r="DW76" t="str">
        <f ca="1" t="shared" si="59"/>
        <v/>
      </c>
      <c r="ER76" t="str">
        <f ca="1">IF(B76="","",step01标题尺码信息!$T$37)</f>
        <v/>
      </c>
      <c r="ES76" t="str">
        <f ca="1" t="shared" si="60"/>
        <v/>
      </c>
      <c r="HF76" t="str">
        <f ca="1">IF(B76="","",step01标题尺码信息!$S$2)</f>
        <v/>
      </c>
      <c r="HH76" t="str">
        <f ca="1" t="shared" si="61"/>
        <v/>
      </c>
      <c r="HI76" t="str">
        <f ca="1" t="shared" si="62"/>
        <v/>
      </c>
      <c r="HL76" t="str">
        <f ca="1" t="shared" si="63"/>
        <v/>
      </c>
      <c r="IA76" t="str">
        <f ca="1" t="shared" si="64"/>
        <v/>
      </c>
    </row>
    <row r="77" spans="1:235">
      <c r="A77" t="str">
        <f ca="1">IF(B77="","",step01标题尺码信息!$B$3)</f>
        <v/>
      </c>
      <c r="B77" t="str">
        <f ca="1">IF(step01标题尺码信息!G79="","",step01标题尺码信息!G79)</f>
        <v/>
      </c>
      <c r="C77" t="str">
        <f ca="1">IF(B77="","",step01标题尺码信息!$E$3)</f>
        <v/>
      </c>
      <c r="D77" t="str">
        <f ca="1" t="shared" si="46"/>
        <v/>
      </c>
      <c r="E77" t="str">
        <f ca="1">IF(B77="","",VLOOKUP(B77,step01标题尺码信息!G:P,4,0))</f>
        <v/>
      </c>
      <c r="H77" t="str">
        <f ca="1">IF(B77="","",step01标题尺码信息!$R$19)</f>
        <v/>
      </c>
      <c r="I77" t="str">
        <f ca="1" t="shared" si="47"/>
        <v/>
      </c>
      <c r="M77" t="str">
        <f ca="1" t="shared" si="48"/>
        <v/>
      </c>
      <c r="U77" t="str">
        <f ca="1">IF(B77="","",step01标题尺码信息!$S$1)</f>
        <v/>
      </c>
      <c r="V77" t="str">
        <f ca="1" t="shared" si="49"/>
        <v/>
      </c>
      <c r="W77" t="str">
        <f ca="1">IF(B77="","",step01标题尺码信息!$V$1)</f>
        <v/>
      </c>
      <c r="X77" t="str">
        <f ca="1">IF(B77="","",step01标题尺码信息!$V$2)</f>
        <v/>
      </c>
      <c r="Y77" t="str">
        <f ca="1" t="shared" si="50"/>
        <v/>
      </c>
      <c r="Z77" t="str">
        <f ca="1" t="shared" si="51"/>
        <v/>
      </c>
      <c r="AA77" t="str">
        <f ca="1">IF(B77="","",IF(CB77="Parent","",VLOOKUP(B77,step01标题尺码信息!G:P,9,0)))</f>
        <v/>
      </c>
      <c r="AG77" t="str">
        <f ca="1" t="shared" si="65"/>
        <v/>
      </c>
      <c r="AH77" t="str">
        <f ca="1" t="shared" si="66"/>
        <v/>
      </c>
      <c r="AI77" t="str">
        <f ca="1">IF(OR(B77="",VLOOKUP(BH77,step02图片链接!B:E,4,0)=""),"",VLOOKUP(BH77,step02图片链接!B:E,4,0))</f>
        <v/>
      </c>
      <c r="AJ77" t="str">
        <f ca="1">IF(OR(B77="",VLOOKUP(BH77,step02图片链接!B:G,6,0)=""),"",VLOOKUP(BH77,step02图片链接!B:G,6,0))</f>
        <v/>
      </c>
      <c r="AK77" t="str">
        <f ca="1">IF(OR(B77="",VLOOKUP(BH77,step02图片链接!B:H,7,0)=""),"",VLOOKUP(BH77,step02图片链接!B:H,7,0))</f>
        <v/>
      </c>
      <c r="AL77" t="str">
        <f ca="1">IF(OR(B77="",VLOOKUP(BH77,step02图片链接!B:I,8,0)=""),"",VLOOKUP(BH77,step02图片链接!B:I,8,0))</f>
        <v/>
      </c>
      <c r="AM77" t="str">
        <f ca="1">IF(OR(B77="",VLOOKUP(BH77,step02图片链接!B:J,9,0)=""),"",VLOOKUP(BH77,step02图片链接!B:J,9,0))</f>
        <v/>
      </c>
      <c r="AN77" t="str">
        <f ca="1">IF(OR(B77="",VLOOKUP(BH77,step02图片链接!B:K,10,0)=""),"",VLOOKUP(BH77,step02图片链接!B:K,10,0))</f>
        <v/>
      </c>
      <c r="AO77" t="str">
        <f ca="1">IF(OR(B77="",VLOOKUP(BH77,step02图片链接!B:L,11,0)=""),"",VLOOKUP(BH77,step02图片链接!B:L,11,0))</f>
        <v/>
      </c>
      <c r="AP77" t="str">
        <f ca="1">IF(OR(B77="",VLOOKUP(BH77,step02图片链接!B:M,12,0)=""),"",VLOOKUP(BH77,step02图片链接!B:M,12,0))</f>
        <v/>
      </c>
      <c r="AQ77" t="str">
        <f ca="1">IF(OR(B77="",VLOOKUP(BH77,step02图片链接!B:N,13,0)=""),"",VLOOKUP(BH77,step02图片链接!B:N,13,0))</f>
        <v/>
      </c>
      <c r="AS77" t="str">
        <f ca="1" t="shared" si="67"/>
        <v/>
      </c>
      <c r="AT77" t="str">
        <f ca="1" t="shared" si="68"/>
        <v/>
      </c>
      <c r="AU77" t="str">
        <f ca="1" t="shared" si="52"/>
        <v/>
      </c>
      <c r="AV77" t="str">
        <f ca="1">IF(B77="","",step01标题尺码信息!$T$36)</f>
        <v/>
      </c>
      <c r="AZ77" t="str">
        <f ca="1">IF(B77="","",step01标题尺码信息!$S$41)</f>
        <v/>
      </c>
      <c r="BA77" t="str">
        <f ca="1">IF(B77="","",step01标题尺码信息!$S$43)</f>
        <v/>
      </c>
      <c r="BB77" t="str">
        <f ca="1">IF(B77="","",step01标题尺码信息!$S$45)</f>
        <v/>
      </c>
      <c r="BC77" t="str">
        <f ca="1">IF(B77="","",step01标题尺码信息!$S$47)</f>
        <v/>
      </c>
      <c r="BD77" t="str">
        <f ca="1">IF(B77="","",step01标题尺码信息!$S$49)</f>
        <v/>
      </c>
      <c r="BE77" t="str">
        <f ca="1">IF(B77="","",step01标题尺码信息!$S$53)</f>
        <v/>
      </c>
      <c r="BH77" t="str">
        <f ca="1">IF(B77="","",IF(DX77="Parent","",VLOOKUP(B77,step01标题尺码信息!G:P,7,0)))</f>
        <v/>
      </c>
      <c r="BI77" t="str">
        <f ca="1">IF(B77="","",IF(DX77="Parent","",VLOOKUP(B77,step01标题尺码信息!G:P,8,0)))</f>
        <v/>
      </c>
      <c r="BK77" t="str">
        <f ca="1" t="shared" si="53"/>
        <v/>
      </c>
      <c r="BL77" t="str">
        <f ca="1" t="shared" si="54"/>
        <v/>
      </c>
      <c r="BO77" t="str">
        <f ca="1" t="shared" si="55"/>
        <v/>
      </c>
      <c r="BR77" t="str">
        <f ca="1">IF(B77="","",IF(AS77="Parent","",VLOOKUP(B77,step01标题尺码信息!G:P,9,0)))</f>
        <v/>
      </c>
      <c r="CY77" t="str">
        <f ca="1" t="shared" si="56"/>
        <v/>
      </c>
      <c r="DG77" t="str">
        <f ca="1">IF(B77="","",step01标题尺码信息!$T$30)</f>
        <v/>
      </c>
      <c r="DH77" t="str">
        <f ca="1" t="shared" si="57"/>
        <v/>
      </c>
      <c r="DN77" t="str">
        <f ca="1" t="shared" si="58"/>
        <v/>
      </c>
      <c r="DW77" t="str">
        <f ca="1" t="shared" si="59"/>
        <v/>
      </c>
      <c r="ER77" t="str">
        <f ca="1">IF(B77="","",step01标题尺码信息!$T$37)</f>
        <v/>
      </c>
      <c r="ES77" t="str">
        <f ca="1" t="shared" si="60"/>
        <v/>
      </c>
      <c r="HF77" t="str">
        <f ca="1">IF(B77="","",step01标题尺码信息!$S$2)</f>
        <v/>
      </c>
      <c r="HH77" t="str">
        <f ca="1" t="shared" si="61"/>
        <v/>
      </c>
      <c r="HI77" t="str">
        <f ca="1" t="shared" si="62"/>
        <v/>
      </c>
      <c r="HL77" t="str">
        <f ca="1" t="shared" si="63"/>
        <v/>
      </c>
      <c r="IA77" t="str">
        <f ca="1" t="shared" si="64"/>
        <v/>
      </c>
    </row>
    <row r="78" spans="1:235">
      <c r="A78" t="str">
        <f ca="1">IF(B78="","",step01标题尺码信息!$B$3)</f>
        <v/>
      </c>
      <c r="B78" t="str">
        <f ca="1">IF(step01标题尺码信息!G80="","",step01标题尺码信息!G80)</f>
        <v/>
      </c>
      <c r="C78" t="str">
        <f ca="1">IF(B78="","",step01标题尺码信息!$E$3)</f>
        <v/>
      </c>
      <c r="D78" t="str">
        <f ca="1" t="shared" si="46"/>
        <v/>
      </c>
      <c r="E78" t="str">
        <f ca="1">IF(B78="","",VLOOKUP(B78,step01标题尺码信息!G:P,4,0))</f>
        <v/>
      </c>
      <c r="H78" t="str">
        <f ca="1">IF(B78="","",step01标题尺码信息!$R$19)</f>
        <v/>
      </c>
      <c r="I78" t="str">
        <f ca="1" t="shared" si="47"/>
        <v/>
      </c>
      <c r="M78" t="str">
        <f ca="1" t="shared" si="48"/>
        <v/>
      </c>
      <c r="U78" t="str">
        <f ca="1">IF(B78="","",step01标题尺码信息!$S$1)</f>
        <v/>
      </c>
      <c r="V78" t="str">
        <f ca="1" t="shared" si="49"/>
        <v/>
      </c>
      <c r="W78" t="str">
        <f ca="1">IF(B78="","",step01标题尺码信息!$V$1)</f>
        <v/>
      </c>
      <c r="X78" t="str">
        <f ca="1">IF(B78="","",step01标题尺码信息!$V$2)</f>
        <v/>
      </c>
      <c r="Y78" t="str">
        <f ca="1" t="shared" si="50"/>
        <v/>
      </c>
      <c r="Z78" t="str">
        <f ca="1" t="shared" si="51"/>
        <v/>
      </c>
      <c r="AA78" t="str">
        <f ca="1">IF(B78="","",IF(CB78="Parent","",VLOOKUP(B78,step01标题尺码信息!G:P,9,0)))</f>
        <v/>
      </c>
      <c r="AG78" t="str">
        <f ca="1" t="shared" si="65"/>
        <v/>
      </c>
      <c r="AH78" t="str">
        <f ca="1" t="shared" si="66"/>
        <v/>
      </c>
      <c r="AI78" t="str">
        <f ca="1">IF(OR(B78="",VLOOKUP(BH78,step02图片链接!B:E,4,0)=""),"",VLOOKUP(BH78,step02图片链接!B:E,4,0))</f>
        <v/>
      </c>
      <c r="AJ78" t="str">
        <f ca="1">IF(OR(B78="",VLOOKUP(BH78,step02图片链接!B:G,6,0)=""),"",VLOOKUP(BH78,step02图片链接!B:G,6,0))</f>
        <v/>
      </c>
      <c r="AK78" t="str">
        <f ca="1">IF(OR(B78="",VLOOKUP(BH78,step02图片链接!B:H,7,0)=""),"",VLOOKUP(BH78,step02图片链接!B:H,7,0))</f>
        <v/>
      </c>
      <c r="AL78" t="str">
        <f ca="1">IF(OR(B78="",VLOOKUP(BH78,step02图片链接!B:I,8,0)=""),"",VLOOKUP(BH78,step02图片链接!B:I,8,0))</f>
        <v/>
      </c>
      <c r="AM78" t="str">
        <f ca="1">IF(OR(B78="",VLOOKUP(BH78,step02图片链接!B:J,9,0)=""),"",VLOOKUP(BH78,step02图片链接!B:J,9,0))</f>
        <v/>
      </c>
      <c r="AN78" t="str">
        <f ca="1">IF(OR(B78="",VLOOKUP(BH78,step02图片链接!B:K,10,0)=""),"",VLOOKUP(BH78,step02图片链接!B:K,10,0))</f>
        <v/>
      </c>
      <c r="AO78" t="str">
        <f ca="1">IF(OR(B78="",VLOOKUP(BH78,step02图片链接!B:L,11,0)=""),"",VLOOKUP(BH78,step02图片链接!B:L,11,0))</f>
        <v/>
      </c>
      <c r="AP78" t="str">
        <f ca="1">IF(OR(B78="",VLOOKUP(BH78,step02图片链接!B:M,12,0)=""),"",VLOOKUP(BH78,step02图片链接!B:M,12,0))</f>
        <v/>
      </c>
      <c r="AQ78" t="str">
        <f ca="1">IF(OR(B78="",VLOOKUP(BH78,step02图片链接!B:N,13,0)=""),"",VLOOKUP(BH78,step02图片链接!B:N,13,0))</f>
        <v/>
      </c>
      <c r="AS78" t="str">
        <f ca="1" t="shared" si="67"/>
        <v/>
      </c>
      <c r="AT78" t="str">
        <f ca="1" t="shared" si="68"/>
        <v/>
      </c>
      <c r="AU78" t="str">
        <f ca="1" t="shared" si="52"/>
        <v/>
      </c>
      <c r="AV78" t="str">
        <f ca="1">IF(B78="","",step01标题尺码信息!$T$36)</f>
        <v/>
      </c>
      <c r="AZ78" t="str">
        <f ca="1">IF(B78="","",step01标题尺码信息!$S$41)</f>
        <v/>
      </c>
      <c r="BA78" t="str">
        <f ca="1">IF(B78="","",step01标题尺码信息!$S$43)</f>
        <v/>
      </c>
      <c r="BB78" t="str">
        <f ca="1">IF(B78="","",step01标题尺码信息!$S$45)</f>
        <v/>
      </c>
      <c r="BC78" t="str">
        <f ca="1">IF(B78="","",step01标题尺码信息!$S$47)</f>
        <v/>
      </c>
      <c r="BD78" t="str">
        <f ca="1">IF(B78="","",step01标题尺码信息!$S$49)</f>
        <v/>
      </c>
      <c r="BE78" t="str">
        <f ca="1">IF(B78="","",step01标题尺码信息!$S$53)</f>
        <v/>
      </c>
      <c r="BH78" t="str">
        <f ca="1">IF(B78="","",IF(DX78="Parent","",VLOOKUP(B78,step01标题尺码信息!G:P,7,0)))</f>
        <v/>
      </c>
      <c r="BI78" t="str">
        <f ca="1">IF(B78="","",IF(DX78="Parent","",VLOOKUP(B78,step01标题尺码信息!G:P,8,0)))</f>
        <v/>
      </c>
      <c r="BK78" t="str">
        <f ca="1" t="shared" si="53"/>
        <v/>
      </c>
      <c r="BL78" t="str">
        <f ca="1" t="shared" si="54"/>
        <v/>
      </c>
      <c r="BO78" t="str">
        <f ca="1" t="shared" si="55"/>
        <v/>
      </c>
      <c r="BR78" t="str">
        <f ca="1">IF(B78="","",IF(AS78="Parent","",VLOOKUP(B78,step01标题尺码信息!G:P,9,0)))</f>
        <v/>
      </c>
      <c r="CY78" t="str">
        <f ca="1" t="shared" si="56"/>
        <v/>
      </c>
      <c r="DG78" t="str">
        <f ca="1">IF(B78="","",step01标题尺码信息!$T$30)</f>
        <v/>
      </c>
      <c r="DH78" t="str">
        <f ca="1" t="shared" si="57"/>
        <v/>
      </c>
      <c r="DN78" t="str">
        <f ca="1" t="shared" si="58"/>
        <v/>
      </c>
      <c r="DW78" t="str">
        <f ca="1" t="shared" si="59"/>
        <v/>
      </c>
      <c r="ER78" t="str">
        <f ca="1">IF(B78="","",step01标题尺码信息!$T$37)</f>
        <v/>
      </c>
      <c r="ES78" t="str">
        <f ca="1" t="shared" si="60"/>
        <v/>
      </c>
      <c r="HF78" t="str">
        <f ca="1">IF(B78="","",step01标题尺码信息!$S$2)</f>
        <v/>
      </c>
      <c r="HH78" t="str">
        <f ca="1" t="shared" si="61"/>
        <v/>
      </c>
      <c r="HI78" t="str">
        <f ca="1" t="shared" si="62"/>
        <v/>
      </c>
      <c r="HL78" t="str">
        <f ca="1" t="shared" si="63"/>
        <v/>
      </c>
      <c r="IA78" t="str">
        <f ca="1" t="shared" si="64"/>
        <v/>
      </c>
    </row>
    <row r="79" spans="1:235">
      <c r="A79" t="str">
        <f ca="1">IF(B79="","",step01标题尺码信息!$B$3)</f>
        <v/>
      </c>
      <c r="B79" t="str">
        <f ca="1">IF(step01标题尺码信息!G81="","",step01标题尺码信息!G81)</f>
        <v/>
      </c>
      <c r="C79" t="str">
        <f ca="1">IF(B79="","",step01标题尺码信息!$E$3)</f>
        <v/>
      </c>
      <c r="D79" t="str">
        <f ca="1" t="shared" si="46"/>
        <v/>
      </c>
      <c r="E79" t="str">
        <f ca="1">IF(B79="","",VLOOKUP(B79,step01标题尺码信息!G:P,4,0))</f>
        <v/>
      </c>
      <c r="H79" t="str">
        <f ca="1">IF(B79="","",step01标题尺码信息!$R$19)</f>
        <v/>
      </c>
      <c r="I79" t="str">
        <f ca="1" t="shared" si="47"/>
        <v/>
      </c>
      <c r="M79" t="str">
        <f ca="1" t="shared" si="48"/>
        <v/>
      </c>
      <c r="U79" t="str">
        <f ca="1">IF(B79="","",step01标题尺码信息!$S$1)</f>
        <v/>
      </c>
      <c r="V79" t="str">
        <f ca="1" t="shared" si="49"/>
        <v/>
      </c>
      <c r="W79" t="str">
        <f ca="1">IF(B79="","",step01标题尺码信息!$V$1)</f>
        <v/>
      </c>
      <c r="X79" t="str">
        <f ca="1">IF(B79="","",step01标题尺码信息!$V$2)</f>
        <v/>
      </c>
      <c r="Y79" t="str">
        <f ca="1" t="shared" si="50"/>
        <v/>
      </c>
      <c r="Z79" t="str">
        <f ca="1" t="shared" si="51"/>
        <v/>
      </c>
      <c r="AA79" t="str">
        <f ca="1">IF(B79="","",IF(CB79="Parent","",VLOOKUP(B79,step01标题尺码信息!G:P,9,0)))</f>
        <v/>
      </c>
      <c r="AG79" t="str">
        <f ca="1" t="shared" si="65"/>
        <v/>
      </c>
      <c r="AH79" t="str">
        <f ca="1" t="shared" si="66"/>
        <v/>
      </c>
      <c r="AI79" t="str">
        <f ca="1">IF(OR(B79="",VLOOKUP(BH79,step02图片链接!B:E,4,0)=""),"",VLOOKUP(BH79,step02图片链接!B:E,4,0))</f>
        <v/>
      </c>
      <c r="AJ79" t="str">
        <f ca="1">IF(OR(B79="",VLOOKUP(BH79,step02图片链接!B:G,6,0)=""),"",VLOOKUP(BH79,step02图片链接!B:G,6,0))</f>
        <v/>
      </c>
      <c r="AK79" t="str">
        <f ca="1">IF(OR(B79="",VLOOKUP(BH79,step02图片链接!B:H,7,0)=""),"",VLOOKUP(BH79,step02图片链接!B:H,7,0))</f>
        <v/>
      </c>
      <c r="AL79" t="str">
        <f ca="1">IF(OR(B79="",VLOOKUP(BH79,step02图片链接!B:I,8,0)=""),"",VLOOKUP(BH79,step02图片链接!B:I,8,0))</f>
        <v/>
      </c>
      <c r="AM79" t="str">
        <f ca="1">IF(OR(B79="",VLOOKUP(BH79,step02图片链接!B:J,9,0)=""),"",VLOOKUP(BH79,step02图片链接!B:J,9,0))</f>
        <v/>
      </c>
      <c r="AN79" t="str">
        <f ca="1">IF(OR(B79="",VLOOKUP(BH79,step02图片链接!B:K,10,0)=""),"",VLOOKUP(BH79,step02图片链接!B:K,10,0))</f>
        <v/>
      </c>
      <c r="AO79" t="str">
        <f ca="1">IF(OR(B79="",VLOOKUP(BH79,step02图片链接!B:L,11,0)=""),"",VLOOKUP(BH79,step02图片链接!B:L,11,0))</f>
        <v/>
      </c>
      <c r="AP79" t="str">
        <f ca="1">IF(OR(B79="",VLOOKUP(BH79,step02图片链接!B:M,12,0)=""),"",VLOOKUP(BH79,step02图片链接!B:M,12,0))</f>
        <v/>
      </c>
      <c r="AQ79" t="str">
        <f ca="1">IF(OR(B79="",VLOOKUP(BH79,step02图片链接!B:N,13,0)=""),"",VLOOKUP(BH79,step02图片链接!B:N,13,0))</f>
        <v/>
      </c>
      <c r="AS79" t="str">
        <f ca="1" t="shared" si="67"/>
        <v/>
      </c>
      <c r="AT79" t="str">
        <f ca="1" t="shared" si="68"/>
        <v/>
      </c>
      <c r="AU79" t="str">
        <f ca="1" t="shared" si="52"/>
        <v/>
      </c>
      <c r="AV79" t="str">
        <f ca="1">IF(B79="","",step01标题尺码信息!$T$36)</f>
        <v/>
      </c>
      <c r="AZ79" t="str">
        <f ca="1">IF(B79="","",step01标题尺码信息!$S$41)</f>
        <v/>
      </c>
      <c r="BA79" t="str">
        <f ca="1">IF(B79="","",step01标题尺码信息!$S$43)</f>
        <v/>
      </c>
      <c r="BB79" t="str">
        <f ca="1">IF(B79="","",step01标题尺码信息!$S$45)</f>
        <v/>
      </c>
      <c r="BC79" t="str">
        <f ca="1">IF(B79="","",step01标题尺码信息!$S$47)</f>
        <v/>
      </c>
      <c r="BD79" t="str">
        <f ca="1">IF(B79="","",step01标题尺码信息!$S$49)</f>
        <v/>
      </c>
      <c r="BE79" t="str">
        <f ca="1">IF(B79="","",step01标题尺码信息!$S$53)</f>
        <v/>
      </c>
      <c r="BH79" t="str">
        <f ca="1">IF(B79="","",IF(DX79="Parent","",VLOOKUP(B79,step01标题尺码信息!G:P,7,0)))</f>
        <v/>
      </c>
      <c r="BI79" t="str">
        <f ca="1">IF(B79="","",IF(DX79="Parent","",VLOOKUP(B79,step01标题尺码信息!G:P,8,0)))</f>
        <v/>
      </c>
      <c r="BK79" t="str">
        <f ca="1" t="shared" si="53"/>
        <v/>
      </c>
      <c r="BL79" t="str">
        <f ca="1" t="shared" si="54"/>
        <v/>
      </c>
      <c r="BO79" t="str">
        <f ca="1" t="shared" si="55"/>
        <v/>
      </c>
      <c r="BR79" t="str">
        <f ca="1">IF(B79="","",IF(AS79="Parent","",VLOOKUP(B79,step01标题尺码信息!G:P,9,0)))</f>
        <v/>
      </c>
      <c r="CY79" t="str">
        <f ca="1" t="shared" si="56"/>
        <v/>
      </c>
      <c r="DG79" t="str">
        <f ca="1">IF(B79="","",step01标题尺码信息!$T$30)</f>
        <v/>
      </c>
      <c r="DH79" t="str">
        <f ca="1" t="shared" si="57"/>
        <v/>
      </c>
      <c r="DN79" t="str">
        <f ca="1" t="shared" si="58"/>
        <v/>
      </c>
      <c r="DW79" t="str">
        <f ca="1" t="shared" si="59"/>
        <v/>
      </c>
      <c r="ER79" t="str">
        <f ca="1">IF(B79="","",step01标题尺码信息!$T$37)</f>
        <v/>
      </c>
      <c r="ES79" t="str">
        <f ca="1" t="shared" si="60"/>
        <v/>
      </c>
      <c r="HF79" t="str">
        <f ca="1">IF(B79="","",step01标题尺码信息!$S$2)</f>
        <v/>
      </c>
      <c r="HH79" t="str">
        <f ca="1" t="shared" si="61"/>
        <v/>
      </c>
      <c r="HI79" t="str">
        <f ca="1" t="shared" si="62"/>
        <v/>
      </c>
      <c r="HL79" t="str">
        <f ca="1" t="shared" si="63"/>
        <v/>
      </c>
      <c r="IA79" t="str">
        <f ca="1" t="shared" si="64"/>
        <v/>
      </c>
    </row>
    <row r="80" spans="1:235">
      <c r="A80" t="str">
        <f ca="1">IF(B80="","",step01标题尺码信息!$B$3)</f>
        <v/>
      </c>
      <c r="B80" t="str">
        <f ca="1">IF(step01标题尺码信息!G82="","",step01标题尺码信息!G82)</f>
        <v/>
      </c>
      <c r="C80" t="str">
        <f ca="1">IF(B80="","",step01标题尺码信息!$E$3)</f>
        <v/>
      </c>
      <c r="D80" t="str">
        <f ca="1" t="shared" si="46"/>
        <v/>
      </c>
      <c r="E80" t="str">
        <f ca="1">IF(B80="","",VLOOKUP(B80,step01标题尺码信息!G:P,4,0))</f>
        <v/>
      </c>
      <c r="H80" t="str">
        <f ca="1">IF(B80="","",step01标题尺码信息!$R$19)</f>
        <v/>
      </c>
      <c r="I80" t="str">
        <f ca="1" t="shared" si="47"/>
        <v/>
      </c>
      <c r="M80" t="str">
        <f ca="1" t="shared" si="48"/>
        <v/>
      </c>
      <c r="U80" t="str">
        <f ca="1">IF(B80="","",step01标题尺码信息!$S$1)</f>
        <v/>
      </c>
      <c r="V80" t="str">
        <f ca="1" t="shared" si="49"/>
        <v/>
      </c>
      <c r="W80" t="str">
        <f ca="1">IF(B80="","",step01标题尺码信息!$V$1)</f>
        <v/>
      </c>
      <c r="X80" t="str">
        <f ca="1">IF(B80="","",step01标题尺码信息!$V$2)</f>
        <v/>
      </c>
      <c r="Y80" t="str">
        <f ca="1" t="shared" si="50"/>
        <v/>
      </c>
      <c r="Z80" t="str">
        <f ca="1" t="shared" si="51"/>
        <v/>
      </c>
      <c r="AA80" t="str">
        <f ca="1">IF(B80="","",IF(CB80="Parent","",VLOOKUP(B80,step01标题尺码信息!G:P,9,0)))</f>
        <v/>
      </c>
      <c r="AG80" t="str">
        <f ca="1" t="shared" si="65"/>
        <v/>
      </c>
      <c r="AH80" t="str">
        <f ca="1" t="shared" si="66"/>
        <v/>
      </c>
      <c r="AI80" t="str">
        <f ca="1">IF(OR(B80="",VLOOKUP(BH80,step02图片链接!B:E,4,0)=""),"",VLOOKUP(BH80,step02图片链接!B:E,4,0))</f>
        <v/>
      </c>
      <c r="AJ80" t="str">
        <f ca="1">IF(OR(B80="",VLOOKUP(BH80,step02图片链接!B:G,6,0)=""),"",VLOOKUP(BH80,step02图片链接!B:G,6,0))</f>
        <v/>
      </c>
      <c r="AK80" t="str">
        <f ca="1">IF(OR(B80="",VLOOKUP(BH80,step02图片链接!B:H,7,0)=""),"",VLOOKUP(BH80,step02图片链接!B:H,7,0))</f>
        <v/>
      </c>
      <c r="AL80" t="str">
        <f ca="1">IF(OR(B80="",VLOOKUP(BH80,step02图片链接!B:I,8,0)=""),"",VLOOKUP(BH80,step02图片链接!B:I,8,0))</f>
        <v/>
      </c>
      <c r="AM80" t="str">
        <f ca="1">IF(OR(B80="",VLOOKUP(BH80,step02图片链接!B:J,9,0)=""),"",VLOOKUP(BH80,step02图片链接!B:J,9,0))</f>
        <v/>
      </c>
      <c r="AN80" t="str">
        <f ca="1">IF(OR(B80="",VLOOKUP(BH80,step02图片链接!B:K,10,0)=""),"",VLOOKUP(BH80,step02图片链接!B:K,10,0))</f>
        <v/>
      </c>
      <c r="AO80" t="str">
        <f ca="1">IF(OR(B80="",VLOOKUP(BH80,step02图片链接!B:L,11,0)=""),"",VLOOKUP(BH80,step02图片链接!B:L,11,0))</f>
        <v/>
      </c>
      <c r="AP80" t="str">
        <f ca="1">IF(OR(B80="",VLOOKUP(BH80,step02图片链接!B:M,12,0)=""),"",VLOOKUP(BH80,step02图片链接!B:M,12,0))</f>
        <v/>
      </c>
      <c r="AQ80" t="str">
        <f ca="1">IF(OR(B80="",VLOOKUP(BH80,step02图片链接!B:N,13,0)=""),"",VLOOKUP(BH80,step02图片链接!B:N,13,0))</f>
        <v/>
      </c>
      <c r="AS80" t="str">
        <f ca="1" t="shared" si="67"/>
        <v/>
      </c>
      <c r="AT80" t="str">
        <f ca="1" t="shared" si="68"/>
        <v/>
      </c>
      <c r="AU80" t="str">
        <f ca="1" t="shared" si="52"/>
        <v/>
      </c>
      <c r="AV80" t="str">
        <f ca="1">IF(B80="","",step01标题尺码信息!$T$36)</f>
        <v/>
      </c>
      <c r="AZ80" t="str">
        <f ca="1">IF(B80="","",step01标题尺码信息!$S$41)</f>
        <v/>
      </c>
      <c r="BA80" t="str">
        <f ca="1">IF(B80="","",step01标题尺码信息!$S$43)</f>
        <v/>
      </c>
      <c r="BB80" t="str">
        <f ca="1">IF(B80="","",step01标题尺码信息!$S$45)</f>
        <v/>
      </c>
      <c r="BC80" t="str">
        <f ca="1">IF(B80="","",step01标题尺码信息!$S$47)</f>
        <v/>
      </c>
      <c r="BD80" t="str">
        <f ca="1">IF(B80="","",step01标题尺码信息!$S$49)</f>
        <v/>
      </c>
      <c r="BE80" t="str">
        <f ca="1">IF(B80="","",step01标题尺码信息!$S$53)</f>
        <v/>
      </c>
      <c r="BH80" t="str">
        <f ca="1">IF(B80="","",IF(DX80="Parent","",VLOOKUP(B80,step01标题尺码信息!G:P,7,0)))</f>
        <v/>
      </c>
      <c r="BI80" t="str">
        <f ca="1">IF(B80="","",IF(DX80="Parent","",VLOOKUP(B80,step01标题尺码信息!G:P,8,0)))</f>
        <v/>
      </c>
      <c r="BK80" t="str">
        <f ca="1" t="shared" si="53"/>
        <v/>
      </c>
      <c r="BL80" t="str">
        <f ca="1" t="shared" si="54"/>
        <v/>
      </c>
      <c r="BO80" t="str">
        <f ca="1" t="shared" si="55"/>
        <v/>
      </c>
      <c r="BR80" t="str">
        <f ca="1">IF(B80="","",IF(AS80="Parent","",VLOOKUP(B80,step01标题尺码信息!G:P,9,0)))</f>
        <v/>
      </c>
      <c r="CY80" t="str">
        <f ca="1" t="shared" si="56"/>
        <v/>
      </c>
      <c r="DG80" t="str">
        <f ca="1">IF(B80="","",step01标题尺码信息!$T$30)</f>
        <v/>
      </c>
      <c r="DH80" t="str">
        <f ca="1" t="shared" si="57"/>
        <v/>
      </c>
      <c r="DN80" t="str">
        <f ca="1" t="shared" si="58"/>
        <v/>
      </c>
      <c r="DW80" t="str">
        <f ca="1" t="shared" si="59"/>
        <v/>
      </c>
      <c r="ER80" t="str">
        <f ca="1">IF(B80="","",step01标题尺码信息!$T$37)</f>
        <v/>
      </c>
      <c r="ES80" t="str">
        <f ca="1" t="shared" si="60"/>
        <v/>
      </c>
      <c r="HF80" t="str">
        <f ca="1">IF(B80="","",step01标题尺码信息!$S$2)</f>
        <v/>
      </c>
      <c r="HH80" t="str">
        <f ca="1" t="shared" si="61"/>
        <v/>
      </c>
      <c r="HI80" t="str">
        <f ca="1" t="shared" si="62"/>
        <v/>
      </c>
      <c r="HL80" t="str">
        <f ca="1" t="shared" si="63"/>
        <v/>
      </c>
      <c r="IA80" t="str">
        <f ca="1" t="shared" si="64"/>
        <v/>
      </c>
    </row>
    <row r="81" spans="1:235">
      <c r="A81" t="str">
        <f ca="1">IF(B81="","",step01标题尺码信息!$B$3)</f>
        <v/>
      </c>
      <c r="B81" t="str">
        <f ca="1">IF(step01标题尺码信息!G83="","",step01标题尺码信息!G83)</f>
        <v/>
      </c>
      <c r="C81" t="str">
        <f ca="1">IF(B81="","",step01标题尺码信息!$E$3)</f>
        <v/>
      </c>
      <c r="D81" t="str">
        <f ca="1" t="shared" si="46"/>
        <v/>
      </c>
      <c r="E81" t="str">
        <f ca="1">IF(B81="","",VLOOKUP(B81,step01标题尺码信息!G:P,4,0))</f>
        <v/>
      </c>
      <c r="H81" t="str">
        <f ca="1">IF(B81="","",step01标题尺码信息!$R$19)</f>
        <v/>
      </c>
      <c r="I81" t="str">
        <f ca="1" t="shared" si="47"/>
        <v/>
      </c>
      <c r="M81" t="str">
        <f ca="1" t="shared" si="48"/>
        <v/>
      </c>
      <c r="U81" t="str">
        <f ca="1">IF(B81="","",step01标题尺码信息!$S$1)</f>
        <v/>
      </c>
      <c r="V81" t="str">
        <f ca="1" t="shared" si="49"/>
        <v/>
      </c>
      <c r="W81" t="str">
        <f ca="1">IF(B81="","",step01标题尺码信息!$V$1)</f>
        <v/>
      </c>
      <c r="X81" t="str">
        <f ca="1">IF(B81="","",step01标题尺码信息!$V$2)</f>
        <v/>
      </c>
      <c r="Y81" t="str">
        <f ca="1" t="shared" si="50"/>
        <v/>
      </c>
      <c r="Z81" t="str">
        <f ca="1" t="shared" si="51"/>
        <v/>
      </c>
      <c r="AA81" t="str">
        <f ca="1">IF(B81="","",IF(CB81="Parent","",VLOOKUP(B81,step01标题尺码信息!G:P,9,0)))</f>
        <v/>
      </c>
      <c r="AG81" t="str">
        <f ca="1" t="shared" si="65"/>
        <v/>
      </c>
      <c r="AH81" t="str">
        <f ca="1" t="shared" si="66"/>
        <v/>
      </c>
      <c r="AI81" t="str">
        <f ca="1">IF(OR(B81="",VLOOKUP(BH81,step02图片链接!B:E,4,0)=""),"",VLOOKUP(BH81,step02图片链接!B:E,4,0))</f>
        <v/>
      </c>
      <c r="AJ81" t="str">
        <f ca="1">IF(OR(B81="",VLOOKUP(BH81,step02图片链接!B:G,6,0)=""),"",VLOOKUP(BH81,step02图片链接!B:G,6,0))</f>
        <v/>
      </c>
      <c r="AK81" t="str">
        <f ca="1">IF(OR(B81="",VLOOKUP(BH81,step02图片链接!B:H,7,0)=""),"",VLOOKUP(BH81,step02图片链接!B:H,7,0))</f>
        <v/>
      </c>
      <c r="AL81" t="str">
        <f ca="1">IF(OR(B81="",VLOOKUP(BH81,step02图片链接!B:I,8,0)=""),"",VLOOKUP(BH81,step02图片链接!B:I,8,0))</f>
        <v/>
      </c>
      <c r="AM81" t="str">
        <f ca="1">IF(OR(B81="",VLOOKUP(BH81,step02图片链接!B:J,9,0)=""),"",VLOOKUP(BH81,step02图片链接!B:J,9,0))</f>
        <v/>
      </c>
      <c r="AN81" t="str">
        <f ca="1">IF(OR(B81="",VLOOKUP(BH81,step02图片链接!B:K,10,0)=""),"",VLOOKUP(BH81,step02图片链接!B:K,10,0))</f>
        <v/>
      </c>
      <c r="AO81" t="str">
        <f ca="1">IF(OR(B81="",VLOOKUP(BH81,step02图片链接!B:L,11,0)=""),"",VLOOKUP(BH81,step02图片链接!B:L,11,0))</f>
        <v/>
      </c>
      <c r="AP81" t="str">
        <f ca="1">IF(OR(B81="",VLOOKUP(BH81,step02图片链接!B:M,12,0)=""),"",VLOOKUP(BH81,step02图片链接!B:M,12,0))</f>
        <v/>
      </c>
      <c r="AQ81" t="str">
        <f ca="1">IF(OR(B81="",VLOOKUP(BH81,step02图片链接!B:N,13,0)=""),"",VLOOKUP(BH81,step02图片链接!B:N,13,0))</f>
        <v/>
      </c>
      <c r="AS81" t="str">
        <f ca="1" t="shared" si="67"/>
        <v/>
      </c>
      <c r="AT81" t="str">
        <f ca="1" t="shared" si="68"/>
        <v/>
      </c>
      <c r="AU81" t="str">
        <f ca="1" t="shared" si="52"/>
        <v/>
      </c>
      <c r="AV81" t="str">
        <f ca="1">IF(B81="","",step01标题尺码信息!$T$36)</f>
        <v/>
      </c>
      <c r="AZ81" t="str">
        <f ca="1">IF(B81="","",step01标题尺码信息!$S$41)</f>
        <v/>
      </c>
      <c r="BA81" t="str">
        <f ca="1">IF(B81="","",step01标题尺码信息!$S$43)</f>
        <v/>
      </c>
      <c r="BB81" t="str">
        <f ca="1">IF(B81="","",step01标题尺码信息!$S$45)</f>
        <v/>
      </c>
      <c r="BC81" t="str">
        <f ca="1">IF(B81="","",step01标题尺码信息!$S$47)</f>
        <v/>
      </c>
      <c r="BD81" t="str">
        <f ca="1">IF(B81="","",step01标题尺码信息!$S$49)</f>
        <v/>
      </c>
      <c r="BE81" t="str">
        <f ca="1">IF(B81="","",step01标题尺码信息!$S$53)</f>
        <v/>
      </c>
      <c r="BH81" t="str">
        <f ca="1">IF(B81="","",IF(DX81="Parent","",VLOOKUP(B81,step01标题尺码信息!G:P,7,0)))</f>
        <v/>
      </c>
      <c r="BI81" t="str">
        <f ca="1">IF(B81="","",IF(DX81="Parent","",VLOOKUP(B81,step01标题尺码信息!G:P,8,0)))</f>
        <v/>
      </c>
      <c r="BK81" t="str">
        <f ca="1" t="shared" si="53"/>
        <v/>
      </c>
      <c r="BL81" t="str">
        <f ca="1" t="shared" si="54"/>
        <v/>
      </c>
      <c r="BO81" t="str">
        <f ca="1" t="shared" si="55"/>
        <v/>
      </c>
      <c r="BR81" t="str">
        <f ca="1">IF(B81="","",IF(AS81="Parent","",VLOOKUP(B81,step01标题尺码信息!G:P,9,0)))</f>
        <v/>
      </c>
      <c r="CY81" t="str">
        <f ca="1" t="shared" si="56"/>
        <v/>
      </c>
      <c r="DG81" t="str">
        <f ca="1">IF(B81="","",step01标题尺码信息!$T$30)</f>
        <v/>
      </c>
      <c r="DH81" t="str">
        <f ca="1" t="shared" si="57"/>
        <v/>
      </c>
      <c r="DN81" t="str">
        <f ca="1" t="shared" si="58"/>
        <v/>
      </c>
      <c r="DW81" t="str">
        <f ca="1" t="shared" si="59"/>
        <v/>
      </c>
      <c r="ER81" t="str">
        <f ca="1">IF(B81="","",step01标题尺码信息!$T$37)</f>
        <v/>
      </c>
      <c r="ES81" t="str">
        <f ca="1" t="shared" si="60"/>
        <v/>
      </c>
      <c r="HF81" t="str">
        <f ca="1">IF(B81="","",step01标题尺码信息!$S$2)</f>
        <v/>
      </c>
      <c r="HH81" t="str">
        <f ca="1" t="shared" si="61"/>
        <v/>
      </c>
      <c r="HI81" t="str">
        <f ca="1" t="shared" si="62"/>
        <v/>
      </c>
      <c r="HL81" t="str">
        <f ca="1" t="shared" si="63"/>
        <v/>
      </c>
      <c r="IA81" t="str">
        <f ca="1" t="shared" si="64"/>
        <v/>
      </c>
    </row>
    <row r="82" spans="1:235">
      <c r="A82" t="str">
        <f ca="1">IF(B82="","",step01标题尺码信息!$B$3)</f>
        <v/>
      </c>
      <c r="B82" t="str">
        <f ca="1">IF(step01标题尺码信息!G84="","",step01标题尺码信息!G84)</f>
        <v/>
      </c>
      <c r="C82" t="str">
        <f ca="1">IF(B82="","",step01标题尺码信息!$E$3)</f>
        <v/>
      </c>
      <c r="D82" t="str">
        <f ca="1" t="shared" si="46"/>
        <v/>
      </c>
      <c r="E82" t="str">
        <f ca="1">IF(B82="","",VLOOKUP(B82,step01标题尺码信息!G:P,4,0))</f>
        <v/>
      </c>
      <c r="H82" t="str">
        <f ca="1">IF(B82="","",step01标题尺码信息!$R$19)</f>
        <v/>
      </c>
      <c r="I82" t="str">
        <f ca="1" t="shared" si="47"/>
        <v/>
      </c>
      <c r="M82" t="str">
        <f ca="1" t="shared" si="48"/>
        <v/>
      </c>
      <c r="U82" t="str">
        <f ca="1">IF(B82="","",step01标题尺码信息!$S$1)</f>
        <v/>
      </c>
      <c r="V82" t="str">
        <f ca="1" t="shared" si="49"/>
        <v/>
      </c>
      <c r="W82" t="str">
        <f ca="1">IF(B82="","",step01标题尺码信息!$V$1)</f>
        <v/>
      </c>
      <c r="X82" t="str">
        <f ca="1">IF(B82="","",step01标题尺码信息!$V$2)</f>
        <v/>
      </c>
      <c r="Y82" t="str">
        <f ca="1" t="shared" si="50"/>
        <v/>
      </c>
      <c r="Z82" t="str">
        <f ca="1" t="shared" si="51"/>
        <v/>
      </c>
      <c r="AA82" t="str">
        <f ca="1">IF(B82="","",IF(CB82="Parent","",VLOOKUP(B82,step01标题尺码信息!G:P,9,0)))</f>
        <v/>
      </c>
      <c r="AG82" t="str">
        <f ca="1" t="shared" si="65"/>
        <v/>
      </c>
      <c r="AH82" t="str">
        <f ca="1" t="shared" si="66"/>
        <v/>
      </c>
      <c r="AI82" t="str">
        <f ca="1">IF(OR(B82="",VLOOKUP(BH82,step02图片链接!B:E,4,0)=""),"",VLOOKUP(BH82,step02图片链接!B:E,4,0))</f>
        <v/>
      </c>
      <c r="AJ82" t="str">
        <f ca="1">IF(OR(B82="",VLOOKUP(BH82,step02图片链接!B:G,6,0)=""),"",VLOOKUP(BH82,step02图片链接!B:G,6,0))</f>
        <v/>
      </c>
      <c r="AK82" t="str">
        <f ca="1">IF(OR(B82="",VLOOKUP(BH82,step02图片链接!B:H,7,0)=""),"",VLOOKUP(BH82,step02图片链接!B:H,7,0))</f>
        <v/>
      </c>
      <c r="AL82" t="str">
        <f ca="1">IF(OR(B82="",VLOOKUP(BH82,step02图片链接!B:I,8,0)=""),"",VLOOKUP(BH82,step02图片链接!B:I,8,0))</f>
        <v/>
      </c>
      <c r="AM82" t="str">
        <f ca="1">IF(OR(B82="",VLOOKUP(BH82,step02图片链接!B:J,9,0)=""),"",VLOOKUP(BH82,step02图片链接!B:J,9,0))</f>
        <v/>
      </c>
      <c r="AN82" t="str">
        <f ca="1">IF(OR(B82="",VLOOKUP(BH82,step02图片链接!B:K,10,0)=""),"",VLOOKUP(BH82,step02图片链接!B:K,10,0))</f>
        <v/>
      </c>
      <c r="AO82" t="str">
        <f ca="1">IF(OR(B82="",VLOOKUP(BH82,step02图片链接!B:L,11,0)=""),"",VLOOKUP(BH82,step02图片链接!B:L,11,0))</f>
        <v/>
      </c>
      <c r="AP82" t="str">
        <f ca="1">IF(OR(B82="",VLOOKUP(BH82,step02图片链接!B:M,12,0)=""),"",VLOOKUP(BH82,step02图片链接!B:M,12,0))</f>
        <v/>
      </c>
      <c r="AQ82" t="str">
        <f ca="1">IF(OR(B82="",VLOOKUP(BH82,step02图片链接!B:N,13,0)=""),"",VLOOKUP(BH82,step02图片链接!B:N,13,0))</f>
        <v/>
      </c>
      <c r="AS82" t="str">
        <f ca="1" t="shared" si="67"/>
        <v/>
      </c>
      <c r="AT82" t="str">
        <f ca="1" t="shared" si="68"/>
        <v/>
      </c>
      <c r="AU82" t="str">
        <f ca="1" t="shared" si="52"/>
        <v/>
      </c>
      <c r="AV82" t="str">
        <f ca="1">IF(B82="","",step01标题尺码信息!$T$36)</f>
        <v/>
      </c>
      <c r="AZ82" t="str">
        <f ca="1">IF(B82="","",step01标题尺码信息!$S$41)</f>
        <v/>
      </c>
      <c r="BA82" t="str">
        <f ca="1">IF(B82="","",step01标题尺码信息!$S$43)</f>
        <v/>
      </c>
      <c r="BB82" t="str">
        <f ca="1">IF(B82="","",step01标题尺码信息!$S$45)</f>
        <v/>
      </c>
      <c r="BC82" t="str">
        <f ca="1">IF(B82="","",step01标题尺码信息!$S$47)</f>
        <v/>
      </c>
      <c r="BD82" t="str">
        <f ca="1">IF(B82="","",step01标题尺码信息!$S$49)</f>
        <v/>
      </c>
      <c r="BE82" t="str">
        <f ca="1">IF(B82="","",step01标题尺码信息!$S$53)</f>
        <v/>
      </c>
      <c r="BH82" t="str">
        <f ca="1">IF(B82="","",IF(DX82="Parent","",VLOOKUP(B82,step01标题尺码信息!G:P,7,0)))</f>
        <v/>
      </c>
      <c r="BI82" t="str">
        <f ca="1">IF(B82="","",IF(DX82="Parent","",VLOOKUP(B82,step01标题尺码信息!G:P,8,0)))</f>
        <v/>
      </c>
      <c r="BK82" t="str">
        <f ca="1" t="shared" si="53"/>
        <v/>
      </c>
      <c r="BL82" t="str">
        <f ca="1" t="shared" si="54"/>
        <v/>
      </c>
      <c r="BO82" t="str">
        <f ca="1" t="shared" si="55"/>
        <v/>
      </c>
      <c r="BR82" t="str">
        <f ca="1">IF(B82="","",IF(AS82="Parent","",VLOOKUP(B82,step01标题尺码信息!G:P,9,0)))</f>
        <v/>
      </c>
      <c r="CY82" t="str">
        <f ca="1" t="shared" si="56"/>
        <v/>
      </c>
      <c r="DG82" t="str">
        <f ca="1">IF(B82="","",step01标题尺码信息!$T$30)</f>
        <v/>
      </c>
      <c r="DH82" t="str">
        <f ca="1" t="shared" si="57"/>
        <v/>
      </c>
      <c r="DN82" t="str">
        <f ca="1" t="shared" si="58"/>
        <v/>
      </c>
      <c r="DW82" t="str">
        <f ca="1" t="shared" si="59"/>
        <v/>
      </c>
      <c r="ER82" t="str">
        <f ca="1">IF(B82="","",step01标题尺码信息!$T$37)</f>
        <v/>
      </c>
      <c r="ES82" t="str">
        <f ca="1" t="shared" si="60"/>
        <v/>
      </c>
      <c r="HF82" t="str">
        <f ca="1">IF(B82="","",step01标题尺码信息!$S$2)</f>
        <v/>
      </c>
      <c r="HH82" t="str">
        <f ca="1" t="shared" si="61"/>
        <v/>
      </c>
      <c r="HI82" t="str">
        <f ca="1" t="shared" si="62"/>
        <v/>
      </c>
      <c r="HL82" t="str">
        <f ca="1" t="shared" si="63"/>
        <v/>
      </c>
      <c r="IA82" t="str">
        <f ca="1" t="shared" si="64"/>
        <v/>
      </c>
    </row>
    <row r="83" spans="1:235">
      <c r="A83" t="str">
        <f ca="1">IF(B83="","",step01标题尺码信息!$B$3)</f>
        <v/>
      </c>
      <c r="B83" t="str">
        <f ca="1">IF(step01标题尺码信息!G85="","",step01标题尺码信息!G85)</f>
        <v/>
      </c>
      <c r="C83" t="str">
        <f ca="1">IF(B83="","",step01标题尺码信息!$E$3)</f>
        <v/>
      </c>
      <c r="D83" t="str">
        <f ca="1" t="shared" si="46"/>
        <v/>
      </c>
      <c r="E83" t="str">
        <f ca="1">IF(B83="","",VLOOKUP(B83,step01标题尺码信息!G:P,4,0))</f>
        <v/>
      </c>
      <c r="H83" t="str">
        <f ca="1">IF(B83="","",step01标题尺码信息!$R$19)</f>
        <v/>
      </c>
      <c r="I83" t="str">
        <f ca="1" t="shared" si="47"/>
        <v/>
      </c>
      <c r="M83" t="str">
        <f ca="1" t="shared" si="48"/>
        <v/>
      </c>
      <c r="U83" t="str">
        <f ca="1">IF(B83="","",step01标题尺码信息!$S$1)</f>
        <v/>
      </c>
      <c r="V83" t="str">
        <f ca="1" t="shared" si="49"/>
        <v/>
      </c>
      <c r="W83" t="str">
        <f ca="1">IF(B83="","",step01标题尺码信息!$V$1)</f>
        <v/>
      </c>
      <c r="X83" t="str">
        <f ca="1">IF(B83="","",step01标题尺码信息!$V$2)</f>
        <v/>
      </c>
      <c r="Y83" t="str">
        <f ca="1" t="shared" si="50"/>
        <v/>
      </c>
      <c r="Z83" t="str">
        <f ca="1" t="shared" si="51"/>
        <v/>
      </c>
      <c r="AA83" t="str">
        <f ca="1">IF(B83="","",IF(CB83="Parent","",VLOOKUP(B83,step01标题尺码信息!G:P,9,0)))</f>
        <v/>
      </c>
      <c r="AG83" t="str">
        <f ca="1" t="shared" si="65"/>
        <v/>
      </c>
      <c r="AH83" t="str">
        <f ca="1" t="shared" si="66"/>
        <v/>
      </c>
      <c r="AI83" t="str">
        <f ca="1">IF(OR(B83="",VLOOKUP(BH83,step02图片链接!B:E,4,0)=""),"",VLOOKUP(BH83,step02图片链接!B:E,4,0))</f>
        <v/>
      </c>
      <c r="AJ83" t="str">
        <f ca="1">IF(OR(B83="",VLOOKUP(BH83,step02图片链接!B:G,6,0)=""),"",VLOOKUP(BH83,step02图片链接!B:G,6,0))</f>
        <v/>
      </c>
      <c r="AK83" t="str">
        <f ca="1">IF(OR(B83="",VLOOKUP(BH83,step02图片链接!B:H,7,0)=""),"",VLOOKUP(BH83,step02图片链接!B:H,7,0))</f>
        <v/>
      </c>
      <c r="AL83" t="str">
        <f ca="1">IF(OR(B83="",VLOOKUP(BH83,step02图片链接!B:I,8,0)=""),"",VLOOKUP(BH83,step02图片链接!B:I,8,0))</f>
        <v/>
      </c>
      <c r="AM83" t="str">
        <f ca="1">IF(OR(B83="",VLOOKUP(BH83,step02图片链接!B:J,9,0)=""),"",VLOOKUP(BH83,step02图片链接!B:J,9,0))</f>
        <v/>
      </c>
      <c r="AN83" t="str">
        <f ca="1">IF(OR(B83="",VLOOKUP(BH83,step02图片链接!B:K,10,0)=""),"",VLOOKUP(BH83,step02图片链接!B:K,10,0))</f>
        <v/>
      </c>
      <c r="AO83" t="str">
        <f ca="1">IF(OR(B83="",VLOOKUP(BH83,step02图片链接!B:L,11,0)=""),"",VLOOKUP(BH83,step02图片链接!B:L,11,0))</f>
        <v/>
      </c>
      <c r="AP83" t="str">
        <f ca="1">IF(OR(B83="",VLOOKUP(BH83,step02图片链接!B:M,12,0)=""),"",VLOOKUP(BH83,step02图片链接!B:M,12,0))</f>
        <v/>
      </c>
      <c r="AQ83" t="str">
        <f ca="1">IF(OR(B83="",VLOOKUP(BH83,step02图片链接!B:N,13,0)=""),"",VLOOKUP(BH83,step02图片链接!B:N,13,0))</f>
        <v/>
      </c>
      <c r="AS83" t="str">
        <f ca="1" t="shared" si="67"/>
        <v/>
      </c>
      <c r="AT83" t="str">
        <f ca="1" t="shared" si="68"/>
        <v/>
      </c>
      <c r="AU83" t="str">
        <f ca="1" t="shared" si="52"/>
        <v/>
      </c>
      <c r="AV83" t="str">
        <f ca="1">IF(B83="","",step01标题尺码信息!$T$36)</f>
        <v/>
      </c>
      <c r="AZ83" t="str">
        <f ca="1">IF(B83="","",step01标题尺码信息!$S$41)</f>
        <v/>
      </c>
      <c r="BA83" t="str">
        <f ca="1">IF(B83="","",step01标题尺码信息!$S$43)</f>
        <v/>
      </c>
      <c r="BB83" t="str">
        <f ca="1">IF(B83="","",step01标题尺码信息!$S$45)</f>
        <v/>
      </c>
      <c r="BC83" t="str">
        <f ca="1">IF(B83="","",step01标题尺码信息!$S$47)</f>
        <v/>
      </c>
      <c r="BD83" t="str">
        <f ca="1">IF(B83="","",step01标题尺码信息!$S$49)</f>
        <v/>
      </c>
      <c r="BE83" t="str">
        <f ca="1">IF(B83="","",step01标题尺码信息!$S$53)</f>
        <v/>
      </c>
      <c r="BH83" t="str">
        <f ca="1">IF(B83="","",IF(DX83="Parent","",VLOOKUP(B83,step01标题尺码信息!G:P,7,0)))</f>
        <v/>
      </c>
      <c r="BI83" t="str">
        <f ca="1">IF(B83="","",IF(DX83="Parent","",VLOOKUP(B83,step01标题尺码信息!G:P,8,0)))</f>
        <v/>
      </c>
      <c r="BK83" t="str">
        <f ca="1" t="shared" si="53"/>
        <v/>
      </c>
      <c r="BL83" t="str">
        <f ca="1" t="shared" si="54"/>
        <v/>
      </c>
      <c r="BO83" t="str">
        <f ca="1" t="shared" si="55"/>
        <v/>
      </c>
      <c r="BR83" t="str">
        <f ca="1">IF(B83="","",IF(AS83="Parent","",VLOOKUP(B83,step01标题尺码信息!G:P,9,0)))</f>
        <v/>
      </c>
      <c r="CY83" t="str">
        <f ca="1" t="shared" si="56"/>
        <v/>
      </c>
      <c r="DG83" t="str">
        <f ca="1">IF(B83="","",step01标题尺码信息!$T$30)</f>
        <v/>
      </c>
      <c r="DH83" t="str">
        <f ca="1" t="shared" si="57"/>
        <v/>
      </c>
      <c r="DN83" t="str">
        <f ca="1" t="shared" si="58"/>
        <v/>
      </c>
      <c r="DW83" t="str">
        <f ca="1" t="shared" si="59"/>
        <v/>
      </c>
      <c r="ER83" t="str">
        <f ca="1">IF(B83="","",step01标题尺码信息!$T$37)</f>
        <v/>
      </c>
      <c r="ES83" t="str">
        <f ca="1" t="shared" si="60"/>
        <v/>
      </c>
      <c r="HF83" t="str">
        <f ca="1">IF(B83="","",step01标题尺码信息!$S$2)</f>
        <v/>
      </c>
      <c r="HH83" t="str">
        <f ca="1" t="shared" si="61"/>
        <v/>
      </c>
      <c r="HI83" t="str">
        <f ca="1" t="shared" si="62"/>
        <v/>
      </c>
      <c r="HL83" t="str">
        <f ca="1" t="shared" si="63"/>
        <v/>
      </c>
      <c r="IA83" t="str">
        <f ca="1" t="shared" si="64"/>
        <v/>
      </c>
    </row>
    <row r="84" spans="1:235">
      <c r="A84" t="str">
        <f ca="1">IF(B84="","",step01标题尺码信息!$B$3)</f>
        <v/>
      </c>
      <c r="B84" t="str">
        <f ca="1">IF(step01标题尺码信息!G86="","",step01标题尺码信息!G86)</f>
        <v/>
      </c>
      <c r="C84" t="str">
        <f ca="1">IF(B84="","",step01标题尺码信息!$E$3)</f>
        <v/>
      </c>
      <c r="D84" t="str">
        <f ca="1" t="shared" si="46"/>
        <v/>
      </c>
      <c r="E84" t="str">
        <f ca="1">IF(B84="","",VLOOKUP(B84,step01标题尺码信息!G:P,4,0))</f>
        <v/>
      </c>
      <c r="H84" t="str">
        <f ca="1">IF(B84="","",step01标题尺码信息!$R$19)</f>
        <v/>
      </c>
      <c r="I84" t="str">
        <f ca="1" t="shared" si="47"/>
        <v/>
      </c>
      <c r="M84" t="str">
        <f ca="1" t="shared" si="48"/>
        <v/>
      </c>
      <c r="U84" t="str">
        <f ca="1">IF(B84="","",step01标题尺码信息!$S$1)</f>
        <v/>
      </c>
      <c r="V84" t="str">
        <f ca="1" t="shared" si="49"/>
        <v/>
      </c>
      <c r="W84" t="str">
        <f ca="1">IF(B84="","",step01标题尺码信息!$V$1)</f>
        <v/>
      </c>
      <c r="X84" t="str">
        <f ca="1">IF(B84="","",step01标题尺码信息!$V$2)</f>
        <v/>
      </c>
      <c r="Y84" t="str">
        <f ca="1" t="shared" si="50"/>
        <v/>
      </c>
      <c r="Z84" t="str">
        <f ca="1" t="shared" si="51"/>
        <v/>
      </c>
      <c r="AA84" t="str">
        <f ca="1">IF(B84="","",IF(CB84="Parent","",VLOOKUP(B84,step01标题尺码信息!G:P,9,0)))</f>
        <v/>
      </c>
      <c r="AG84" t="str">
        <f ca="1" t="shared" si="65"/>
        <v/>
      </c>
      <c r="AH84" t="str">
        <f ca="1" t="shared" si="66"/>
        <v/>
      </c>
      <c r="AI84" t="str">
        <f ca="1">IF(OR(B84="",VLOOKUP(BH84,step02图片链接!B:E,4,0)=""),"",VLOOKUP(BH84,step02图片链接!B:E,4,0))</f>
        <v/>
      </c>
      <c r="AJ84" t="str">
        <f ca="1">IF(OR(B84="",VLOOKUP(BH84,step02图片链接!B:G,6,0)=""),"",VLOOKUP(BH84,step02图片链接!B:G,6,0))</f>
        <v/>
      </c>
      <c r="AK84" t="str">
        <f ca="1">IF(OR(B84="",VLOOKUP(BH84,step02图片链接!B:H,7,0)=""),"",VLOOKUP(BH84,step02图片链接!B:H,7,0))</f>
        <v/>
      </c>
      <c r="AL84" t="str">
        <f ca="1">IF(OR(B84="",VLOOKUP(BH84,step02图片链接!B:I,8,0)=""),"",VLOOKUP(BH84,step02图片链接!B:I,8,0))</f>
        <v/>
      </c>
      <c r="AM84" t="str">
        <f ca="1">IF(OR(B84="",VLOOKUP(BH84,step02图片链接!B:J,9,0)=""),"",VLOOKUP(BH84,step02图片链接!B:J,9,0))</f>
        <v/>
      </c>
      <c r="AN84" t="str">
        <f ca="1">IF(OR(B84="",VLOOKUP(BH84,step02图片链接!B:K,10,0)=""),"",VLOOKUP(BH84,step02图片链接!B:K,10,0))</f>
        <v/>
      </c>
      <c r="AO84" t="str">
        <f ca="1">IF(OR(B84="",VLOOKUP(BH84,step02图片链接!B:L,11,0)=""),"",VLOOKUP(BH84,step02图片链接!B:L,11,0))</f>
        <v/>
      </c>
      <c r="AP84" t="str">
        <f ca="1">IF(OR(B84="",VLOOKUP(BH84,step02图片链接!B:M,12,0)=""),"",VLOOKUP(BH84,step02图片链接!B:M,12,0))</f>
        <v/>
      </c>
      <c r="AQ84" t="str">
        <f ca="1">IF(OR(B84="",VLOOKUP(BH84,step02图片链接!B:N,13,0)=""),"",VLOOKUP(BH84,step02图片链接!B:N,13,0))</f>
        <v/>
      </c>
      <c r="AS84" t="str">
        <f ca="1" t="shared" si="67"/>
        <v/>
      </c>
      <c r="AT84" t="str">
        <f ca="1" t="shared" si="68"/>
        <v/>
      </c>
      <c r="AU84" t="str">
        <f ca="1" t="shared" si="52"/>
        <v/>
      </c>
      <c r="AV84" t="str">
        <f ca="1">IF(B84="","",step01标题尺码信息!$T$36)</f>
        <v/>
      </c>
      <c r="AZ84" t="str">
        <f ca="1">IF(B84="","",step01标题尺码信息!$S$41)</f>
        <v/>
      </c>
      <c r="BA84" t="str">
        <f ca="1">IF(B84="","",step01标题尺码信息!$S$43)</f>
        <v/>
      </c>
      <c r="BB84" t="str">
        <f ca="1">IF(B84="","",step01标题尺码信息!$S$45)</f>
        <v/>
      </c>
      <c r="BC84" t="str">
        <f ca="1">IF(B84="","",step01标题尺码信息!$S$47)</f>
        <v/>
      </c>
      <c r="BD84" t="str">
        <f ca="1">IF(B84="","",step01标题尺码信息!$S$49)</f>
        <v/>
      </c>
      <c r="BE84" t="str">
        <f ca="1">IF(B84="","",step01标题尺码信息!$S$53)</f>
        <v/>
      </c>
      <c r="BH84" t="str">
        <f ca="1">IF(B84="","",IF(DX84="Parent","",VLOOKUP(B84,step01标题尺码信息!G:P,7,0)))</f>
        <v/>
      </c>
      <c r="BI84" t="str">
        <f ca="1">IF(B84="","",IF(DX84="Parent","",VLOOKUP(B84,step01标题尺码信息!G:P,8,0)))</f>
        <v/>
      </c>
      <c r="BK84" t="str">
        <f ca="1" t="shared" si="53"/>
        <v/>
      </c>
      <c r="BL84" t="str">
        <f ca="1" t="shared" si="54"/>
        <v/>
      </c>
      <c r="BO84" t="str">
        <f ca="1" t="shared" si="55"/>
        <v/>
      </c>
      <c r="BR84" t="str">
        <f ca="1">IF(B84="","",IF(AS84="Parent","",VLOOKUP(B84,step01标题尺码信息!G:P,9,0)))</f>
        <v/>
      </c>
      <c r="CY84" t="str">
        <f ca="1" t="shared" si="56"/>
        <v/>
      </c>
      <c r="DG84" t="str">
        <f ca="1">IF(B84="","",step01标题尺码信息!$T$30)</f>
        <v/>
      </c>
      <c r="DH84" t="str">
        <f ca="1" t="shared" si="57"/>
        <v/>
      </c>
      <c r="DN84" t="str">
        <f ca="1" t="shared" si="58"/>
        <v/>
      </c>
      <c r="DW84" t="str">
        <f ca="1" t="shared" si="59"/>
        <v/>
      </c>
      <c r="ER84" t="str">
        <f ca="1">IF(B84="","",step01标题尺码信息!$T$37)</f>
        <v/>
      </c>
      <c r="ES84" t="str">
        <f ca="1" t="shared" si="60"/>
        <v/>
      </c>
      <c r="HF84" t="str">
        <f ca="1">IF(B84="","",step01标题尺码信息!$S$2)</f>
        <v/>
      </c>
      <c r="HH84" t="str">
        <f ca="1" t="shared" si="61"/>
        <v/>
      </c>
      <c r="HI84" t="str">
        <f ca="1" t="shared" si="62"/>
        <v/>
      </c>
      <c r="HL84" t="str">
        <f ca="1" t="shared" si="63"/>
        <v/>
      </c>
      <c r="IA84" t="str">
        <f ca="1" t="shared" si="64"/>
        <v/>
      </c>
    </row>
    <row r="85" spans="1:235">
      <c r="A85" t="str">
        <f ca="1">IF(B85="","",step01标题尺码信息!$B$3)</f>
        <v/>
      </c>
      <c r="B85" t="str">
        <f ca="1">IF(step01标题尺码信息!G87="","",step01标题尺码信息!G87)</f>
        <v/>
      </c>
      <c r="C85" t="str">
        <f ca="1">IF(B85="","",step01标题尺码信息!$E$3)</f>
        <v/>
      </c>
      <c r="D85" t="str">
        <f ca="1" t="shared" si="46"/>
        <v/>
      </c>
      <c r="E85" t="str">
        <f ca="1">IF(B85="","",VLOOKUP(B85,step01标题尺码信息!G:P,4,0))</f>
        <v/>
      </c>
      <c r="H85" t="str">
        <f ca="1">IF(B85="","",step01标题尺码信息!$R$19)</f>
        <v/>
      </c>
      <c r="I85" t="str">
        <f ca="1" t="shared" si="47"/>
        <v/>
      </c>
      <c r="M85" t="str">
        <f ca="1" t="shared" si="48"/>
        <v/>
      </c>
      <c r="U85" t="str">
        <f ca="1">IF(B85="","",step01标题尺码信息!$S$1)</f>
        <v/>
      </c>
      <c r="V85" t="str">
        <f ca="1" t="shared" si="49"/>
        <v/>
      </c>
      <c r="W85" t="str">
        <f ca="1">IF(B85="","",step01标题尺码信息!$V$1)</f>
        <v/>
      </c>
      <c r="X85" t="str">
        <f ca="1">IF(B85="","",step01标题尺码信息!$V$2)</f>
        <v/>
      </c>
      <c r="Y85" t="str">
        <f ca="1" t="shared" si="50"/>
        <v/>
      </c>
      <c r="Z85" t="str">
        <f ca="1" t="shared" si="51"/>
        <v/>
      </c>
      <c r="AA85" t="str">
        <f ca="1">IF(B85="","",IF(CB85="Parent","",VLOOKUP(B85,step01标题尺码信息!G:P,9,0)))</f>
        <v/>
      </c>
      <c r="AG85" t="str">
        <f ca="1" t="shared" si="65"/>
        <v/>
      </c>
      <c r="AH85" t="str">
        <f ca="1" t="shared" si="66"/>
        <v/>
      </c>
      <c r="AI85" t="str">
        <f ca="1">IF(OR(B85="",VLOOKUP(BH85,step02图片链接!B:E,4,0)=""),"",VLOOKUP(BH85,step02图片链接!B:E,4,0))</f>
        <v/>
      </c>
      <c r="AJ85" t="str">
        <f ca="1">IF(OR(B85="",VLOOKUP(BH85,step02图片链接!B:G,6,0)=""),"",VLOOKUP(BH85,step02图片链接!B:G,6,0))</f>
        <v/>
      </c>
      <c r="AK85" t="str">
        <f ca="1">IF(OR(B85="",VLOOKUP(BH85,step02图片链接!B:H,7,0)=""),"",VLOOKUP(BH85,step02图片链接!B:H,7,0))</f>
        <v/>
      </c>
      <c r="AL85" t="str">
        <f ca="1">IF(OR(B85="",VLOOKUP(BH85,step02图片链接!B:I,8,0)=""),"",VLOOKUP(BH85,step02图片链接!B:I,8,0))</f>
        <v/>
      </c>
      <c r="AM85" t="str">
        <f ca="1">IF(OR(B85="",VLOOKUP(BH85,step02图片链接!B:J,9,0)=""),"",VLOOKUP(BH85,step02图片链接!B:J,9,0))</f>
        <v/>
      </c>
      <c r="AN85" t="str">
        <f ca="1">IF(OR(B85="",VLOOKUP(BH85,step02图片链接!B:K,10,0)=""),"",VLOOKUP(BH85,step02图片链接!B:K,10,0))</f>
        <v/>
      </c>
      <c r="AO85" t="str">
        <f ca="1">IF(OR(B85="",VLOOKUP(BH85,step02图片链接!B:L,11,0)=""),"",VLOOKUP(BH85,step02图片链接!B:L,11,0))</f>
        <v/>
      </c>
      <c r="AP85" t="str">
        <f ca="1">IF(OR(B85="",VLOOKUP(BH85,step02图片链接!B:M,12,0)=""),"",VLOOKUP(BH85,step02图片链接!B:M,12,0))</f>
        <v/>
      </c>
      <c r="AQ85" t="str">
        <f ca="1">IF(OR(B85="",VLOOKUP(BH85,step02图片链接!B:N,13,0)=""),"",VLOOKUP(BH85,step02图片链接!B:N,13,0))</f>
        <v/>
      </c>
      <c r="AS85" t="str">
        <f ca="1" t="shared" si="67"/>
        <v/>
      </c>
      <c r="AT85" t="str">
        <f ca="1" t="shared" si="68"/>
        <v/>
      </c>
      <c r="AU85" t="str">
        <f ca="1" t="shared" si="52"/>
        <v/>
      </c>
      <c r="AV85" t="str">
        <f ca="1">IF(B85="","",step01标题尺码信息!$T$36)</f>
        <v/>
      </c>
      <c r="AZ85" t="str">
        <f ca="1">IF(B85="","",step01标题尺码信息!$S$41)</f>
        <v/>
      </c>
      <c r="BA85" t="str">
        <f ca="1">IF(B85="","",step01标题尺码信息!$S$43)</f>
        <v/>
      </c>
      <c r="BB85" t="str">
        <f ca="1">IF(B85="","",step01标题尺码信息!$S$45)</f>
        <v/>
      </c>
      <c r="BC85" t="str">
        <f ca="1">IF(B85="","",step01标题尺码信息!$S$47)</f>
        <v/>
      </c>
      <c r="BD85" t="str">
        <f ca="1">IF(B85="","",step01标题尺码信息!$S$49)</f>
        <v/>
      </c>
      <c r="BE85" t="str">
        <f ca="1">IF(B85="","",step01标题尺码信息!$S$53)</f>
        <v/>
      </c>
      <c r="BH85" t="str">
        <f ca="1">IF(B85="","",IF(DX85="Parent","",VLOOKUP(B85,step01标题尺码信息!G:P,7,0)))</f>
        <v/>
      </c>
      <c r="BI85" t="str">
        <f ca="1">IF(B85="","",IF(DX85="Parent","",VLOOKUP(B85,step01标题尺码信息!G:P,8,0)))</f>
        <v/>
      </c>
      <c r="BK85" t="str">
        <f ca="1" t="shared" si="53"/>
        <v/>
      </c>
      <c r="BL85" t="str">
        <f ca="1" t="shared" si="54"/>
        <v/>
      </c>
      <c r="BO85" t="str">
        <f ca="1" t="shared" si="55"/>
        <v/>
      </c>
      <c r="BR85" t="str">
        <f ca="1">IF(B85="","",IF(AS85="Parent","",VLOOKUP(B85,step01标题尺码信息!G:P,9,0)))</f>
        <v/>
      </c>
      <c r="CY85" t="str">
        <f ca="1" t="shared" si="56"/>
        <v/>
      </c>
      <c r="DG85" t="str">
        <f ca="1">IF(B85="","",step01标题尺码信息!$T$30)</f>
        <v/>
      </c>
      <c r="DH85" t="str">
        <f ca="1" t="shared" si="57"/>
        <v/>
      </c>
      <c r="DN85" t="str">
        <f ca="1" t="shared" si="58"/>
        <v/>
      </c>
      <c r="DW85" t="str">
        <f ca="1" t="shared" si="59"/>
        <v/>
      </c>
      <c r="ER85" t="str">
        <f ca="1">IF(B85="","",step01标题尺码信息!$T$37)</f>
        <v/>
      </c>
      <c r="ES85" t="str">
        <f ca="1" t="shared" si="60"/>
        <v/>
      </c>
      <c r="HF85" t="str">
        <f ca="1">IF(B85="","",step01标题尺码信息!$S$2)</f>
        <v/>
      </c>
      <c r="HH85" t="str">
        <f ca="1" t="shared" si="61"/>
        <v/>
      </c>
      <c r="HI85" t="str">
        <f ca="1" t="shared" si="62"/>
        <v/>
      </c>
      <c r="HL85" t="str">
        <f ca="1" t="shared" si="63"/>
        <v/>
      </c>
      <c r="IA85" t="str">
        <f ca="1" t="shared" si="64"/>
        <v/>
      </c>
    </row>
    <row r="86" spans="1:235">
      <c r="A86" t="str">
        <f ca="1">IF(B86="","",step01标题尺码信息!$B$3)</f>
        <v/>
      </c>
      <c r="B86" t="str">
        <f ca="1">IF(step01标题尺码信息!G88="","",step01标题尺码信息!G88)</f>
        <v/>
      </c>
      <c r="C86" t="str">
        <f ca="1">IF(B86="","",step01标题尺码信息!$E$3)</f>
        <v/>
      </c>
      <c r="D86" t="str">
        <f ca="1" t="shared" si="46"/>
        <v/>
      </c>
      <c r="E86" t="str">
        <f ca="1">IF(B86="","",VLOOKUP(B86,step01标题尺码信息!G:P,4,0))</f>
        <v/>
      </c>
      <c r="H86" t="str">
        <f ca="1">IF(B86="","",step01标题尺码信息!$R$19)</f>
        <v/>
      </c>
      <c r="I86" t="str">
        <f ca="1" t="shared" si="47"/>
        <v/>
      </c>
      <c r="M86" t="str">
        <f ca="1" t="shared" si="48"/>
        <v/>
      </c>
      <c r="U86" t="str">
        <f ca="1">IF(B86="","",step01标题尺码信息!$S$1)</f>
        <v/>
      </c>
      <c r="V86" t="str">
        <f ca="1" t="shared" si="49"/>
        <v/>
      </c>
      <c r="W86" t="str">
        <f ca="1">IF(B86="","",step01标题尺码信息!$V$1)</f>
        <v/>
      </c>
      <c r="X86" t="str">
        <f ca="1">IF(B86="","",step01标题尺码信息!$V$2)</f>
        <v/>
      </c>
      <c r="Y86" t="str">
        <f ca="1" t="shared" si="50"/>
        <v/>
      </c>
      <c r="Z86" t="str">
        <f ca="1" t="shared" si="51"/>
        <v/>
      </c>
      <c r="AA86" t="str">
        <f ca="1">IF(B86="","",IF(CB86="Parent","",VLOOKUP(B86,step01标题尺码信息!G:P,9,0)))</f>
        <v/>
      </c>
      <c r="AG86" t="str">
        <f ca="1" t="shared" si="65"/>
        <v/>
      </c>
      <c r="AH86" t="str">
        <f ca="1" t="shared" si="66"/>
        <v/>
      </c>
      <c r="AI86" t="str">
        <f ca="1">IF(OR(B86="",VLOOKUP(BH86,step02图片链接!B:E,4,0)=""),"",VLOOKUP(BH86,step02图片链接!B:E,4,0))</f>
        <v/>
      </c>
      <c r="AJ86" t="str">
        <f ca="1">IF(OR(B86="",VLOOKUP(BH86,step02图片链接!B:G,6,0)=""),"",VLOOKUP(BH86,step02图片链接!B:G,6,0))</f>
        <v/>
      </c>
      <c r="AK86" t="str">
        <f ca="1">IF(OR(B86="",VLOOKUP(BH86,step02图片链接!B:H,7,0)=""),"",VLOOKUP(BH86,step02图片链接!B:H,7,0))</f>
        <v/>
      </c>
      <c r="AL86" t="str">
        <f ca="1">IF(OR(B86="",VLOOKUP(BH86,step02图片链接!B:I,8,0)=""),"",VLOOKUP(BH86,step02图片链接!B:I,8,0))</f>
        <v/>
      </c>
      <c r="AM86" t="str">
        <f ca="1">IF(OR(B86="",VLOOKUP(BH86,step02图片链接!B:J,9,0)=""),"",VLOOKUP(BH86,step02图片链接!B:J,9,0))</f>
        <v/>
      </c>
      <c r="AN86" t="str">
        <f ca="1">IF(OR(B86="",VLOOKUP(BH86,step02图片链接!B:K,10,0)=""),"",VLOOKUP(BH86,step02图片链接!B:K,10,0))</f>
        <v/>
      </c>
      <c r="AO86" t="str">
        <f ca="1">IF(OR(B86="",VLOOKUP(BH86,step02图片链接!B:L,11,0)=""),"",VLOOKUP(BH86,step02图片链接!B:L,11,0))</f>
        <v/>
      </c>
      <c r="AP86" t="str">
        <f ca="1">IF(OR(B86="",VLOOKUP(BH86,step02图片链接!B:M,12,0)=""),"",VLOOKUP(BH86,step02图片链接!B:M,12,0))</f>
        <v/>
      </c>
      <c r="AQ86" t="str">
        <f ca="1">IF(OR(B86="",VLOOKUP(BH86,step02图片链接!B:N,13,0)=""),"",VLOOKUP(BH86,step02图片链接!B:N,13,0))</f>
        <v/>
      </c>
      <c r="AS86" t="str">
        <f ca="1" t="shared" si="67"/>
        <v/>
      </c>
      <c r="AT86" t="str">
        <f ca="1" t="shared" si="68"/>
        <v/>
      </c>
      <c r="AU86" t="str">
        <f ca="1" t="shared" si="52"/>
        <v/>
      </c>
      <c r="AV86" t="str">
        <f ca="1">IF(B86="","",step01标题尺码信息!$T$36)</f>
        <v/>
      </c>
      <c r="AZ86" t="str">
        <f ca="1">IF(B86="","",step01标题尺码信息!$S$41)</f>
        <v/>
      </c>
      <c r="BA86" t="str">
        <f ca="1">IF(B86="","",step01标题尺码信息!$S$43)</f>
        <v/>
      </c>
      <c r="BB86" t="str">
        <f ca="1">IF(B86="","",step01标题尺码信息!$S$45)</f>
        <v/>
      </c>
      <c r="BC86" t="str">
        <f ca="1">IF(B86="","",step01标题尺码信息!$S$47)</f>
        <v/>
      </c>
      <c r="BD86" t="str">
        <f ca="1">IF(B86="","",step01标题尺码信息!$S$49)</f>
        <v/>
      </c>
      <c r="BE86" t="str">
        <f ca="1">IF(B86="","",step01标题尺码信息!$S$53)</f>
        <v/>
      </c>
      <c r="BH86" t="str">
        <f ca="1">IF(B86="","",IF(DX86="Parent","",VLOOKUP(B86,step01标题尺码信息!G:P,7,0)))</f>
        <v/>
      </c>
      <c r="BI86" t="str">
        <f ca="1">IF(B86="","",IF(DX86="Parent","",VLOOKUP(B86,step01标题尺码信息!G:P,8,0)))</f>
        <v/>
      </c>
      <c r="BK86" t="str">
        <f ca="1" t="shared" si="53"/>
        <v/>
      </c>
      <c r="BL86" t="str">
        <f ca="1" t="shared" si="54"/>
        <v/>
      </c>
      <c r="BO86" t="str">
        <f ca="1" t="shared" si="55"/>
        <v/>
      </c>
      <c r="BR86" t="str">
        <f ca="1">IF(B86="","",IF(AS86="Parent","",VLOOKUP(B86,step01标题尺码信息!G:P,9,0)))</f>
        <v/>
      </c>
      <c r="CY86" t="str">
        <f ca="1" t="shared" si="56"/>
        <v/>
      </c>
      <c r="DG86" t="str">
        <f ca="1">IF(B86="","",step01标题尺码信息!$T$30)</f>
        <v/>
      </c>
      <c r="DH86" t="str">
        <f ca="1" t="shared" si="57"/>
        <v/>
      </c>
      <c r="DN86" t="str">
        <f ca="1" t="shared" si="58"/>
        <v/>
      </c>
      <c r="DW86" t="str">
        <f ca="1" t="shared" si="59"/>
        <v/>
      </c>
      <c r="ER86" t="str">
        <f ca="1">IF(B86="","",step01标题尺码信息!$T$37)</f>
        <v/>
      </c>
      <c r="ES86" t="str">
        <f ca="1" t="shared" si="60"/>
        <v/>
      </c>
      <c r="HF86" t="str">
        <f ca="1">IF(B86="","",step01标题尺码信息!$S$2)</f>
        <v/>
      </c>
      <c r="HH86" t="str">
        <f ca="1" t="shared" si="61"/>
        <v/>
      </c>
      <c r="HI86" t="str">
        <f ca="1" t="shared" si="62"/>
        <v/>
      </c>
      <c r="HL86" t="str">
        <f ca="1" t="shared" si="63"/>
        <v/>
      </c>
      <c r="IA86" t="str">
        <f ca="1" t="shared" si="64"/>
        <v/>
      </c>
    </row>
    <row r="87" spans="1:235">
      <c r="A87" t="str">
        <f ca="1">IF(B87="","",step01标题尺码信息!$B$3)</f>
        <v/>
      </c>
      <c r="B87" t="str">
        <f ca="1">IF(step01标题尺码信息!G89="","",step01标题尺码信息!G89)</f>
        <v/>
      </c>
      <c r="C87" t="str">
        <f ca="1">IF(B87="","",step01标题尺码信息!$E$3)</f>
        <v/>
      </c>
      <c r="D87" t="str">
        <f ca="1" t="shared" si="46"/>
        <v/>
      </c>
      <c r="E87" t="str">
        <f ca="1">IF(B87="","",VLOOKUP(B87,step01标题尺码信息!G:P,4,0))</f>
        <v/>
      </c>
      <c r="H87" t="str">
        <f ca="1">IF(B87="","",step01标题尺码信息!$R$19)</f>
        <v/>
      </c>
      <c r="I87" t="str">
        <f ca="1" t="shared" si="47"/>
        <v/>
      </c>
      <c r="M87" t="str">
        <f ca="1" t="shared" si="48"/>
        <v/>
      </c>
      <c r="U87" t="str">
        <f ca="1">IF(B87="","",step01标题尺码信息!$S$1)</f>
        <v/>
      </c>
      <c r="V87" t="str">
        <f ca="1" t="shared" si="49"/>
        <v/>
      </c>
      <c r="W87" t="str">
        <f ca="1">IF(B87="","",step01标题尺码信息!$V$1)</f>
        <v/>
      </c>
      <c r="X87" t="str">
        <f ca="1">IF(B87="","",step01标题尺码信息!$V$2)</f>
        <v/>
      </c>
      <c r="Y87" t="str">
        <f ca="1" t="shared" si="50"/>
        <v/>
      </c>
      <c r="Z87" t="str">
        <f ca="1" t="shared" si="51"/>
        <v/>
      </c>
      <c r="AA87" t="str">
        <f ca="1">IF(B87="","",IF(CB87="Parent","",VLOOKUP(B87,step01标题尺码信息!G:P,9,0)))</f>
        <v/>
      </c>
      <c r="AG87" t="str">
        <f ca="1" t="shared" si="65"/>
        <v/>
      </c>
      <c r="AH87" t="str">
        <f ca="1" t="shared" si="66"/>
        <v/>
      </c>
      <c r="AI87" t="str">
        <f ca="1">IF(OR(B87="",VLOOKUP(BH87,step02图片链接!B:E,4,0)=""),"",VLOOKUP(BH87,step02图片链接!B:E,4,0))</f>
        <v/>
      </c>
      <c r="AJ87" t="str">
        <f ca="1">IF(OR(B87="",VLOOKUP(BH87,step02图片链接!B:G,6,0)=""),"",VLOOKUP(BH87,step02图片链接!B:G,6,0))</f>
        <v/>
      </c>
      <c r="AK87" t="str">
        <f ca="1">IF(OR(B87="",VLOOKUP(BH87,step02图片链接!B:H,7,0)=""),"",VLOOKUP(BH87,step02图片链接!B:H,7,0))</f>
        <v/>
      </c>
      <c r="AL87" t="str">
        <f ca="1">IF(OR(B87="",VLOOKUP(BH87,step02图片链接!B:I,8,0)=""),"",VLOOKUP(BH87,step02图片链接!B:I,8,0))</f>
        <v/>
      </c>
      <c r="AM87" t="str">
        <f ca="1">IF(OR(B87="",VLOOKUP(BH87,step02图片链接!B:J,9,0)=""),"",VLOOKUP(BH87,step02图片链接!B:J,9,0))</f>
        <v/>
      </c>
      <c r="AN87" t="str">
        <f ca="1">IF(OR(B87="",VLOOKUP(BH87,step02图片链接!B:K,10,0)=""),"",VLOOKUP(BH87,step02图片链接!B:K,10,0))</f>
        <v/>
      </c>
      <c r="AO87" t="str">
        <f ca="1">IF(OR(B87="",VLOOKUP(BH87,step02图片链接!B:L,11,0)=""),"",VLOOKUP(BH87,step02图片链接!B:L,11,0))</f>
        <v/>
      </c>
      <c r="AP87" t="str">
        <f ca="1">IF(OR(B87="",VLOOKUP(BH87,step02图片链接!B:M,12,0)=""),"",VLOOKUP(BH87,step02图片链接!B:M,12,0))</f>
        <v/>
      </c>
      <c r="AQ87" t="str">
        <f ca="1">IF(OR(B87="",VLOOKUP(BH87,step02图片链接!B:N,13,0)=""),"",VLOOKUP(BH87,step02图片链接!B:N,13,0))</f>
        <v/>
      </c>
      <c r="AS87" t="str">
        <f ca="1" t="shared" si="67"/>
        <v/>
      </c>
      <c r="AT87" t="str">
        <f ca="1" t="shared" si="68"/>
        <v/>
      </c>
      <c r="AU87" t="str">
        <f ca="1" t="shared" si="52"/>
        <v/>
      </c>
      <c r="AV87" t="str">
        <f ca="1">IF(B87="","",step01标题尺码信息!$T$36)</f>
        <v/>
      </c>
      <c r="AZ87" t="str">
        <f ca="1">IF(B87="","",step01标题尺码信息!$S$41)</f>
        <v/>
      </c>
      <c r="BA87" t="str">
        <f ca="1">IF(B87="","",step01标题尺码信息!$S$43)</f>
        <v/>
      </c>
      <c r="BB87" t="str">
        <f ca="1">IF(B87="","",step01标题尺码信息!$S$45)</f>
        <v/>
      </c>
      <c r="BC87" t="str">
        <f ca="1">IF(B87="","",step01标题尺码信息!$S$47)</f>
        <v/>
      </c>
      <c r="BD87" t="str">
        <f ca="1">IF(B87="","",step01标题尺码信息!$S$49)</f>
        <v/>
      </c>
      <c r="BE87" t="str">
        <f ca="1">IF(B87="","",step01标题尺码信息!$S$53)</f>
        <v/>
      </c>
      <c r="BH87" t="str">
        <f ca="1">IF(B87="","",IF(DX87="Parent","",VLOOKUP(B87,step01标题尺码信息!G:P,7,0)))</f>
        <v/>
      </c>
      <c r="BI87" t="str">
        <f ca="1">IF(B87="","",IF(DX87="Parent","",VLOOKUP(B87,step01标题尺码信息!G:P,8,0)))</f>
        <v/>
      </c>
      <c r="BK87" t="str">
        <f ca="1" t="shared" si="53"/>
        <v/>
      </c>
      <c r="BL87" t="str">
        <f ca="1" t="shared" si="54"/>
        <v/>
      </c>
      <c r="BO87" t="str">
        <f ca="1" t="shared" si="55"/>
        <v/>
      </c>
      <c r="BR87" t="str">
        <f ca="1">IF(B87="","",IF(AS87="Parent","",VLOOKUP(B87,step01标题尺码信息!G:P,9,0)))</f>
        <v/>
      </c>
      <c r="CY87" t="str">
        <f ca="1" t="shared" si="56"/>
        <v/>
      </c>
      <c r="DG87" t="str">
        <f ca="1">IF(B87="","",step01标题尺码信息!$T$30)</f>
        <v/>
      </c>
      <c r="DH87" t="str">
        <f ca="1" t="shared" si="57"/>
        <v/>
      </c>
      <c r="DN87" t="str">
        <f ca="1" t="shared" si="58"/>
        <v/>
      </c>
      <c r="DW87" t="str">
        <f ca="1" t="shared" si="59"/>
        <v/>
      </c>
      <c r="ER87" t="str">
        <f ca="1">IF(B87="","",step01标题尺码信息!$T$37)</f>
        <v/>
      </c>
      <c r="ES87" t="str">
        <f ca="1" t="shared" si="60"/>
        <v/>
      </c>
      <c r="HF87" t="str">
        <f ca="1">IF(B87="","",step01标题尺码信息!$S$2)</f>
        <v/>
      </c>
      <c r="HH87" t="str">
        <f ca="1" t="shared" si="61"/>
        <v/>
      </c>
      <c r="HI87" t="str">
        <f ca="1" t="shared" si="62"/>
        <v/>
      </c>
      <c r="HL87" t="str">
        <f ca="1" t="shared" si="63"/>
        <v/>
      </c>
      <c r="IA87" t="str">
        <f ca="1" t="shared" si="64"/>
        <v/>
      </c>
    </row>
    <row r="88" spans="1:235">
      <c r="A88" t="str">
        <f ca="1">IF(B88="","",step01标题尺码信息!$B$3)</f>
        <v/>
      </c>
      <c r="B88" t="str">
        <f ca="1">IF(step01标题尺码信息!G90="","",step01标题尺码信息!G90)</f>
        <v/>
      </c>
      <c r="C88" t="str">
        <f ca="1">IF(B88="","",step01标题尺码信息!$E$3)</f>
        <v/>
      </c>
      <c r="D88" t="str">
        <f ca="1" t="shared" si="46"/>
        <v/>
      </c>
      <c r="E88" t="str">
        <f ca="1">IF(B88="","",VLOOKUP(B88,step01标题尺码信息!G:P,4,0))</f>
        <v/>
      </c>
      <c r="H88" t="str">
        <f ca="1">IF(B88="","",step01标题尺码信息!$R$19)</f>
        <v/>
      </c>
      <c r="I88" t="str">
        <f ca="1" t="shared" si="47"/>
        <v/>
      </c>
      <c r="M88" t="str">
        <f ca="1" t="shared" si="48"/>
        <v/>
      </c>
      <c r="U88" t="str">
        <f ca="1">IF(B88="","",step01标题尺码信息!$S$1)</f>
        <v/>
      </c>
      <c r="V88" t="str">
        <f ca="1" t="shared" si="49"/>
        <v/>
      </c>
      <c r="W88" t="str">
        <f ca="1">IF(B88="","",step01标题尺码信息!$V$1)</f>
        <v/>
      </c>
      <c r="X88" t="str">
        <f ca="1">IF(B88="","",step01标题尺码信息!$V$2)</f>
        <v/>
      </c>
      <c r="Y88" t="str">
        <f ca="1" t="shared" si="50"/>
        <v/>
      </c>
      <c r="Z88" t="str">
        <f ca="1" t="shared" si="51"/>
        <v/>
      </c>
      <c r="AA88" t="str">
        <f ca="1">IF(B88="","",IF(CB88="Parent","",VLOOKUP(B88,step01标题尺码信息!G:P,9,0)))</f>
        <v/>
      </c>
      <c r="AG88" t="str">
        <f ca="1" t="shared" si="65"/>
        <v/>
      </c>
      <c r="AH88" t="str">
        <f ca="1" t="shared" si="66"/>
        <v/>
      </c>
      <c r="AI88" t="str">
        <f ca="1">IF(OR(B88="",VLOOKUP(BH88,step02图片链接!B:E,4,0)=""),"",VLOOKUP(BH88,step02图片链接!B:E,4,0))</f>
        <v/>
      </c>
      <c r="AJ88" t="str">
        <f ca="1">IF(OR(B88="",VLOOKUP(BH88,step02图片链接!B:G,6,0)=""),"",VLOOKUP(BH88,step02图片链接!B:G,6,0))</f>
        <v/>
      </c>
      <c r="AK88" t="str">
        <f ca="1">IF(OR(B88="",VLOOKUP(BH88,step02图片链接!B:H,7,0)=""),"",VLOOKUP(BH88,step02图片链接!B:H,7,0))</f>
        <v/>
      </c>
      <c r="AL88" t="str">
        <f ca="1">IF(OR(B88="",VLOOKUP(BH88,step02图片链接!B:I,8,0)=""),"",VLOOKUP(BH88,step02图片链接!B:I,8,0))</f>
        <v/>
      </c>
      <c r="AM88" t="str">
        <f ca="1">IF(OR(B88="",VLOOKUP(BH88,step02图片链接!B:J,9,0)=""),"",VLOOKUP(BH88,step02图片链接!B:J,9,0))</f>
        <v/>
      </c>
      <c r="AN88" t="str">
        <f ca="1">IF(OR(B88="",VLOOKUP(BH88,step02图片链接!B:K,10,0)=""),"",VLOOKUP(BH88,step02图片链接!B:K,10,0))</f>
        <v/>
      </c>
      <c r="AO88" t="str">
        <f ca="1">IF(OR(B88="",VLOOKUP(BH88,step02图片链接!B:L,11,0)=""),"",VLOOKUP(BH88,step02图片链接!B:L,11,0))</f>
        <v/>
      </c>
      <c r="AP88" t="str">
        <f ca="1">IF(OR(B88="",VLOOKUP(BH88,step02图片链接!B:M,12,0)=""),"",VLOOKUP(BH88,step02图片链接!B:M,12,0))</f>
        <v/>
      </c>
      <c r="AQ88" t="str">
        <f ca="1">IF(OR(B88="",VLOOKUP(BH88,step02图片链接!B:N,13,0)=""),"",VLOOKUP(BH88,step02图片链接!B:N,13,0))</f>
        <v/>
      </c>
      <c r="AS88" t="str">
        <f ca="1" t="shared" si="67"/>
        <v/>
      </c>
      <c r="AT88" t="str">
        <f ca="1" t="shared" si="68"/>
        <v/>
      </c>
      <c r="AU88" t="str">
        <f ca="1" t="shared" si="52"/>
        <v/>
      </c>
      <c r="AV88" t="str">
        <f ca="1">IF(B88="","",step01标题尺码信息!$T$36)</f>
        <v/>
      </c>
      <c r="AZ88" t="str">
        <f ca="1">IF(B88="","",step01标题尺码信息!$S$41)</f>
        <v/>
      </c>
      <c r="BA88" t="str">
        <f ca="1">IF(B88="","",step01标题尺码信息!$S$43)</f>
        <v/>
      </c>
      <c r="BB88" t="str">
        <f ca="1">IF(B88="","",step01标题尺码信息!$S$45)</f>
        <v/>
      </c>
      <c r="BC88" t="str">
        <f ca="1">IF(B88="","",step01标题尺码信息!$S$47)</f>
        <v/>
      </c>
      <c r="BD88" t="str">
        <f ca="1">IF(B88="","",step01标题尺码信息!$S$49)</f>
        <v/>
      </c>
      <c r="BE88" t="str">
        <f ca="1">IF(B88="","",step01标题尺码信息!$S$53)</f>
        <v/>
      </c>
      <c r="BH88" t="str">
        <f ca="1">IF(B88="","",IF(DX88="Parent","",VLOOKUP(B88,step01标题尺码信息!G:P,7,0)))</f>
        <v/>
      </c>
      <c r="BI88" t="str">
        <f ca="1">IF(B88="","",IF(DX88="Parent","",VLOOKUP(B88,step01标题尺码信息!G:P,8,0)))</f>
        <v/>
      </c>
      <c r="BK88" t="str">
        <f ca="1" t="shared" si="53"/>
        <v/>
      </c>
      <c r="BL88" t="str">
        <f ca="1" t="shared" si="54"/>
        <v/>
      </c>
      <c r="BO88" t="str">
        <f ca="1" t="shared" si="55"/>
        <v/>
      </c>
      <c r="BR88" t="str">
        <f ca="1">IF(B88="","",IF(AS88="Parent","",VLOOKUP(B88,step01标题尺码信息!G:P,9,0)))</f>
        <v/>
      </c>
      <c r="CY88" t="str">
        <f ca="1" t="shared" si="56"/>
        <v/>
      </c>
      <c r="DG88" t="str">
        <f ca="1">IF(B88="","",step01标题尺码信息!$T$30)</f>
        <v/>
      </c>
      <c r="DH88" t="str">
        <f ca="1" t="shared" si="57"/>
        <v/>
      </c>
      <c r="DN88" t="str">
        <f ca="1" t="shared" si="58"/>
        <v/>
      </c>
      <c r="DW88" t="str">
        <f ca="1" t="shared" si="59"/>
        <v/>
      </c>
      <c r="ER88" t="str">
        <f ca="1">IF(B88="","",step01标题尺码信息!$T$37)</f>
        <v/>
      </c>
      <c r="ES88" t="str">
        <f ca="1" t="shared" si="60"/>
        <v/>
      </c>
      <c r="HF88" t="str">
        <f ca="1">IF(B88="","",step01标题尺码信息!$S$2)</f>
        <v/>
      </c>
      <c r="HH88" t="str">
        <f ca="1" t="shared" si="61"/>
        <v/>
      </c>
      <c r="HI88" t="str">
        <f ca="1" t="shared" si="62"/>
        <v/>
      </c>
      <c r="HL88" t="str">
        <f ca="1" t="shared" si="63"/>
        <v/>
      </c>
      <c r="IA88" t="str">
        <f ca="1" t="shared" si="64"/>
        <v/>
      </c>
    </row>
    <row r="89" spans="1:235">
      <c r="A89" t="str">
        <f ca="1">IF(B89="","",step01标题尺码信息!$B$3)</f>
        <v/>
      </c>
      <c r="B89" t="str">
        <f ca="1">IF(step01标题尺码信息!G91="","",step01标题尺码信息!G91)</f>
        <v/>
      </c>
      <c r="C89" t="str">
        <f ca="1">IF(B89="","",step01标题尺码信息!$E$3)</f>
        <v/>
      </c>
      <c r="D89" t="str">
        <f ca="1" t="shared" si="46"/>
        <v/>
      </c>
      <c r="E89" t="str">
        <f ca="1">IF(B89="","",VLOOKUP(B89,step01标题尺码信息!G:P,4,0))</f>
        <v/>
      </c>
      <c r="H89" t="str">
        <f ca="1">IF(B89="","",step01标题尺码信息!$R$19)</f>
        <v/>
      </c>
      <c r="I89" t="str">
        <f ca="1" t="shared" si="47"/>
        <v/>
      </c>
      <c r="M89" t="str">
        <f ca="1" t="shared" si="48"/>
        <v/>
      </c>
      <c r="U89" t="str">
        <f ca="1">IF(B89="","",step01标题尺码信息!$S$1)</f>
        <v/>
      </c>
      <c r="V89" t="str">
        <f ca="1" t="shared" si="49"/>
        <v/>
      </c>
      <c r="W89" t="str">
        <f ca="1">IF(B89="","",step01标题尺码信息!$V$1)</f>
        <v/>
      </c>
      <c r="X89" t="str">
        <f ca="1">IF(B89="","",step01标题尺码信息!$V$2)</f>
        <v/>
      </c>
      <c r="Y89" t="str">
        <f ca="1" t="shared" si="50"/>
        <v/>
      </c>
      <c r="Z89" t="str">
        <f ca="1" t="shared" si="51"/>
        <v/>
      </c>
      <c r="AA89" t="str">
        <f ca="1">IF(B89="","",IF(CB89="Parent","",VLOOKUP(B89,step01标题尺码信息!G:P,9,0)))</f>
        <v/>
      </c>
      <c r="AG89" t="str">
        <f ca="1" t="shared" si="65"/>
        <v/>
      </c>
      <c r="AH89" t="str">
        <f ca="1" t="shared" si="66"/>
        <v/>
      </c>
      <c r="AI89" t="str">
        <f ca="1">IF(OR(B89="",VLOOKUP(BH89,step02图片链接!B:E,4,0)=""),"",VLOOKUP(BH89,step02图片链接!B:E,4,0))</f>
        <v/>
      </c>
      <c r="AJ89" t="str">
        <f ca="1">IF(OR(B89="",VLOOKUP(BH89,step02图片链接!B:G,6,0)=""),"",VLOOKUP(BH89,step02图片链接!B:G,6,0))</f>
        <v/>
      </c>
      <c r="AK89" t="str">
        <f ca="1">IF(OR(B89="",VLOOKUP(BH89,step02图片链接!B:H,7,0)=""),"",VLOOKUP(BH89,step02图片链接!B:H,7,0))</f>
        <v/>
      </c>
      <c r="AL89" t="str">
        <f ca="1">IF(OR(B89="",VLOOKUP(BH89,step02图片链接!B:I,8,0)=""),"",VLOOKUP(BH89,step02图片链接!B:I,8,0))</f>
        <v/>
      </c>
      <c r="AM89" t="str">
        <f ca="1">IF(OR(B89="",VLOOKUP(BH89,step02图片链接!B:J,9,0)=""),"",VLOOKUP(BH89,step02图片链接!B:J,9,0))</f>
        <v/>
      </c>
      <c r="AN89" t="str">
        <f ca="1">IF(OR(B89="",VLOOKUP(BH89,step02图片链接!B:K,10,0)=""),"",VLOOKUP(BH89,step02图片链接!B:K,10,0))</f>
        <v/>
      </c>
      <c r="AO89" t="str">
        <f ca="1">IF(OR(B89="",VLOOKUP(BH89,step02图片链接!B:L,11,0)=""),"",VLOOKUP(BH89,step02图片链接!B:L,11,0))</f>
        <v/>
      </c>
      <c r="AP89" t="str">
        <f ca="1">IF(OR(B89="",VLOOKUP(BH89,step02图片链接!B:M,12,0)=""),"",VLOOKUP(BH89,step02图片链接!B:M,12,0))</f>
        <v/>
      </c>
      <c r="AQ89" t="str">
        <f ca="1">IF(OR(B89="",VLOOKUP(BH89,step02图片链接!B:N,13,0)=""),"",VLOOKUP(BH89,step02图片链接!B:N,13,0))</f>
        <v/>
      </c>
      <c r="AS89" t="str">
        <f ca="1" t="shared" si="67"/>
        <v/>
      </c>
      <c r="AT89" t="str">
        <f ca="1" t="shared" si="68"/>
        <v/>
      </c>
      <c r="AU89" t="str">
        <f ca="1" t="shared" si="52"/>
        <v/>
      </c>
      <c r="AV89" t="str">
        <f ca="1">IF(B89="","",step01标题尺码信息!$T$36)</f>
        <v/>
      </c>
      <c r="AZ89" t="str">
        <f ca="1">IF(B89="","",step01标题尺码信息!$S$41)</f>
        <v/>
      </c>
      <c r="BA89" t="str">
        <f ca="1">IF(B89="","",step01标题尺码信息!$S$43)</f>
        <v/>
      </c>
      <c r="BB89" t="str">
        <f ca="1">IF(B89="","",step01标题尺码信息!$S$45)</f>
        <v/>
      </c>
      <c r="BC89" t="str">
        <f ca="1">IF(B89="","",step01标题尺码信息!$S$47)</f>
        <v/>
      </c>
      <c r="BD89" t="str">
        <f ca="1">IF(B89="","",step01标题尺码信息!$S$49)</f>
        <v/>
      </c>
      <c r="BE89" t="str">
        <f ca="1">IF(B89="","",step01标题尺码信息!$S$53)</f>
        <v/>
      </c>
      <c r="BH89" t="str">
        <f ca="1">IF(B89="","",IF(DX89="Parent","",VLOOKUP(B89,step01标题尺码信息!G:P,7,0)))</f>
        <v/>
      </c>
      <c r="BI89" t="str">
        <f ca="1">IF(B89="","",IF(DX89="Parent","",VLOOKUP(B89,step01标题尺码信息!G:P,8,0)))</f>
        <v/>
      </c>
      <c r="BK89" t="str">
        <f ca="1" t="shared" si="53"/>
        <v/>
      </c>
      <c r="BL89" t="str">
        <f ca="1" t="shared" si="54"/>
        <v/>
      </c>
      <c r="BO89" t="str">
        <f ca="1" t="shared" si="55"/>
        <v/>
      </c>
      <c r="BR89" t="str">
        <f ca="1">IF(B89="","",IF(AS89="Parent","",VLOOKUP(B89,step01标题尺码信息!G:P,9,0)))</f>
        <v/>
      </c>
      <c r="CY89" t="str">
        <f ca="1" t="shared" si="56"/>
        <v/>
      </c>
      <c r="DG89" t="str">
        <f ca="1">IF(B89="","",step01标题尺码信息!$T$30)</f>
        <v/>
      </c>
      <c r="DH89" t="str">
        <f ca="1" t="shared" si="57"/>
        <v/>
      </c>
      <c r="DN89" t="str">
        <f ca="1" t="shared" si="58"/>
        <v/>
      </c>
      <c r="DW89" t="str">
        <f ca="1" t="shared" si="59"/>
        <v/>
      </c>
      <c r="ER89" t="str">
        <f ca="1">IF(B89="","",step01标题尺码信息!$T$37)</f>
        <v/>
      </c>
      <c r="ES89" t="str">
        <f ca="1" t="shared" si="60"/>
        <v/>
      </c>
      <c r="HF89" t="str">
        <f ca="1">IF(B89="","",step01标题尺码信息!$S$2)</f>
        <v/>
      </c>
      <c r="HH89" t="str">
        <f ca="1" t="shared" si="61"/>
        <v/>
      </c>
      <c r="HI89" t="str">
        <f ca="1" t="shared" si="62"/>
        <v/>
      </c>
      <c r="HL89" t="str">
        <f ca="1" t="shared" si="63"/>
        <v/>
      </c>
      <c r="IA89" t="str">
        <f ca="1" t="shared" si="64"/>
        <v/>
      </c>
    </row>
    <row r="90" spans="1:235">
      <c r="A90" t="str">
        <f ca="1">IF(B90="","",step01标题尺码信息!$B$3)</f>
        <v/>
      </c>
      <c r="B90" t="str">
        <f ca="1">IF(step01标题尺码信息!G92="","",step01标题尺码信息!G92)</f>
        <v/>
      </c>
      <c r="C90" t="str">
        <f ca="1">IF(B90="","",step01标题尺码信息!$E$3)</f>
        <v/>
      </c>
      <c r="D90" t="str">
        <f ca="1" t="shared" si="46"/>
        <v/>
      </c>
      <c r="E90" t="str">
        <f ca="1">IF(B90="","",VLOOKUP(B90,step01标题尺码信息!G:P,4,0))</f>
        <v/>
      </c>
      <c r="H90" t="str">
        <f ca="1">IF(B90="","",step01标题尺码信息!$R$19)</f>
        <v/>
      </c>
      <c r="I90" t="str">
        <f ca="1" t="shared" si="47"/>
        <v/>
      </c>
      <c r="M90" t="str">
        <f ca="1" t="shared" si="48"/>
        <v/>
      </c>
      <c r="U90" t="str">
        <f ca="1">IF(B90="","",step01标题尺码信息!$S$1)</f>
        <v/>
      </c>
      <c r="V90" t="str">
        <f ca="1" t="shared" si="49"/>
        <v/>
      </c>
      <c r="W90" t="str">
        <f ca="1">IF(B90="","",step01标题尺码信息!$V$1)</f>
        <v/>
      </c>
      <c r="X90" t="str">
        <f ca="1">IF(B90="","",step01标题尺码信息!$V$2)</f>
        <v/>
      </c>
      <c r="Y90" t="str">
        <f ca="1" t="shared" si="50"/>
        <v/>
      </c>
      <c r="Z90" t="str">
        <f ca="1" t="shared" si="51"/>
        <v/>
      </c>
      <c r="AA90" t="str">
        <f ca="1">IF(B90="","",IF(CB90="Parent","",VLOOKUP(B90,step01标题尺码信息!G:P,9,0)))</f>
        <v/>
      </c>
      <c r="AG90" t="str">
        <f ca="1" t="shared" si="65"/>
        <v/>
      </c>
      <c r="AH90" t="str">
        <f ca="1" t="shared" si="66"/>
        <v/>
      </c>
      <c r="AI90" t="str">
        <f ca="1">IF(OR(B90="",VLOOKUP(BH90,step02图片链接!B:E,4,0)=""),"",VLOOKUP(BH90,step02图片链接!B:E,4,0))</f>
        <v/>
      </c>
      <c r="AJ90" t="str">
        <f ca="1">IF(OR(B90="",VLOOKUP(BH90,step02图片链接!B:G,6,0)=""),"",VLOOKUP(BH90,step02图片链接!B:G,6,0))</f>
        <v/>
      </c>
      <c r="AK90" t="str">
        <f ca="1">IF(OR(B90="",VLOOKUP(BH90,step02图片链接!B:H,7,0)=""),"",VLOOKUP(BH90,step02图片链接!B:H,7,0))</f>
        <v/>
      </c>
      <c r="AL90" t="str">
        <f ca="1">IF(OR(B90="",VLOOKUP(BH90,step02图片链接!B:I,8,0)=""),"",VLOOKUP(BH90,step02图片链接!B:I,8,0))</f>
        <v/>
      </c>
      <c r="AM90" t="str">
        <f ca="1">IF(OR(B90="",VLOOKUP(BH90,step02图片链接!B:J,9,0)=""),"",VLOOKUP(BH90,step02图片链接!B:J,9,0))</f>
        <v/>
      </c>
      <c r="AN90" t="str">
        <f ca="1">IF(OR(B90="",VLOOKUP(BH90,step02图片链接!B:K,10,0)=""),"",VLOOKUP(BH90,step02图片链接!B:K,10,0))</f>
        <v/>
      </c>
      <c r="AO90" t="str">
        <f ca="1">IF(OR(B90="",VLOOKUP(BH90,step02图片链接!B:L,11,0)=""),"",VLOOKUP(BH90,step02图片链接!B:L,11,0))</f>
        <v/>
      </c>
      <c r="AP90" t="str">
        <f ca="1">IF(OR(B90="",VLOOKUP(BH90,step02图片链接!B:M,12,0)=""),"",VLOOKUP(BH90,step02图片链接!B:M,12,0))</f>
        <v/>
      </c>
      <c r="AQ90" t="str">
        <f ca="1">IF(OR(B90="",VLOOKUP(BH90,step02图片链接!B:N,13,0)=""),"",VLOOKUP(BH90,step02图片链接!B:N,13,0))</f>
        <v/>
      </c>
      <c r="AS90" t="str">
        <f ca="1" t="shared" si="67"/>
        <v/>
      </c>
      <c r="AT90" t="str">
        <f ca="1" t="shared" si="68"/>
        <v/>
      </c>
      <c r="AU90" t="str">
        <f ca="1" t="shared" si="52"/>
        <v/>
      </c>
      <c r="AV90" t="str">
        <f ca="1">IF(B90="","",step01标题尺码信息!$T$36)</f>
        <v/>
      </c>
      <c r="AZ90" t="str">
        <f ca="1">IF(B90="","",step01标题尺码信息!$S$41)</f>
        <v/>
      </c>
      <c r="BA90" t="str">
        <f ca="1">IF(B90="","",step01标题尺码信息!$S$43)</f>
        <v/>
      </c>
      <c r="BB90" t="str">
        <f ca="1">IF(B90="","",step01标题尺码信息!$S$45)</f>
        <v/>
      </c>
      <c r="BC90" t="str">
        <f ca="1">IF(B90="","",step01标题尺码信息!$S$47)</f>
        <v/>
      </c>
      <c r="BD90" t="str">
        <f ca="1">IF(B90="","",step01标题尺码信息!$S$49)</f>
        <v/>
      </c>
      <c r="BE90" t="str">
        <f ca="1">IF(B90="","",step01标题尺码信息!$S$53)</f>
        <v/>
      </c>
      <c r="BH90" t="str">
        <f ca="1">IF(B90="","",IF(DX90="Parent","",VLOOKUP(B90,step01标题尺码信息!G:P,7,0)))</f>
        <v/>
      </c>
      <c r="BI90" t="str">
        <f ca="1">IF(B90="","",IF(DX90="Parent","",VLOOKUP(B90,step01标题尺码信息!G:P,8,0)))</f>
        <v/>
      </c>
      <c r="BK90" t="str">
        <f ca="1" t="shared" si="53"/>
        <v/>
      </c>
      <c r="BL90" t="str">
        <f ca="1" t="shared" si="54"/>
        <v/>
      </c>
      <c r="BO90" t="str">
        <f ca="1" t="shared" si="55"/>
        <v/>
      </c>
      <c r="BR90" t="str">
        <f ca="1">IF(B90="","",IF(AS90="Parent","",VLOOKUP(B90,step01标题尺码信息!G:P,9,0)))</f>
        <v/>
      </c>
      <c r="CY90" t="str">
        <f ca="1" t="shared" si="56"/>
        <v/>
      </c>
      <c r="DG90" t="str">
        <f ca="1">IF(B90="","",step01标题尺码信息!$T$30)</f>
        <v/>
      </c>
      <c r="DH90" t="str">
        <f ca="1" t="shared" si="57"/>
        <v/>
      </c>
      <c r="DN90" t="str">
        <f ca="1" t="shared" si="58"/>
        <v/>
      </c>
      <c r="DW90" t="str">
        <f ca="1" t="shared" si="59"/>
        <v/>
      </c>
      <c r="ER90" t="str">
        <f ca="1">IF(B90="","",step01标题尺码信息!$T$37)</f>
        <v/>
      </c>
      <c r="ES90" t="str">
        <f ca="1" t="shared" si="60"/>
        <v/>
      </c>
      <c r="HF90" t="str">
        <f ca="1">IF(B90="","",step01标题尺码信息!$S$2)</f>
        <v/>
      </c>
      <c r="HH90" t="str">
        <f ca="1" t="shared" si="61"/>
        <v/>
      </c>
      <c r="HI90" t="str">
        <f ca="1" t="shared" si="62"/>
        <v/>
      </c>
      <c r="HL90" t="str">
        <f ca="1" t="shared" si="63"/>
        <v/>
      </c>
      <c r="IA90" t="str">
        <f ca="1" t="shared" si="64"/>
        <v/>
      </c>
    </row>
    <row r="91" spans="1:235">
      <c r="A91" t="str">
        <f ca="1">IF(B91="","",step01标题尺码信息!$B$3)</f>
        <v/>
      </c>
      <c r="B91" t="str">
        <f ca="1">IF(step01标题尺码信息!G93="","",step01标题尺码信息!G93)</f>
        <v/>
      </c>
      <c r="C91" t="str">
        <f ca="1">IF(B91="","",step01标题尺码信息!$E$3)</f>
        <v/>
      </c>
      <c r="D91" t="str">
        <f ca="1" t="shared" si="46"/>
        <v/>
      </c>
      <c r="E91" t="str">
        <f ca="1">IF(B91="","",VLOOKUP(B91,step01标题尺码信息!G:P,4,0))</f>
        <v/>
      </c>
      <c r="H91" t="str">
        <f ca="1">IF(B91="","",step01标题尺码信息!$R$19)</f>
        <v/>
      </c>
      <c r="I91" t="str">
        <f ca="1" t="shared" si="47"/>
        <v/>
      </c>
      <c r="M91" t="str">
        <f ca="1" t="shared" si="48"/>
        <v/>
      </c>
      <c r="U91" t="str">
        <f ca="1">IF(B91="","",step01标题尺码信息!$S$1)</f>
        <v/>
      </c>
      <c r="V91" t="str">
        <f ca="1" t="shared" si="49"/>
        <v/>
      </c>
      <c r="W91" t="str">
        <f ca="1">IF(B91="","",step01标题尺码信息!$V$1)</f>
        <v/>
      </c>
      <c r="X91" t="str">
        <f ca="1">IF(B91="","",step01标题尺码信息!$V$2)</f>
        <v/>
      </c>
      <c r="Y91" t="str">
        <f ca="1" t="shared" si="50"/>
        <v/>
      </c>
      <c r="Z91" t="str">
        <f ca="1" t="shared" si="51"/>
        <v/>
      </c>
      <c r="AA91" t="str">
        <f ca="1">IF(B91="","",IF(CB91="Parent","",VLOOKUP(B91,step01标题尺码信息!G:P,9,0)))</f>
        <v/>
      </c>
      <c r="AG91" t="str">
        <f ca="1" t="shared" si="65"/>
        <v/>
      </c>
      <c r="AH91" t="str">
        <f ca="1" t="shared" si="66"/>
        <v/>
      </c>
      <c r="AI91" t="str">
        <f ca="1">IF(OR(B91="",VLOOKUP(BH91,step02图片链接!B:E,4,0)=""),"",VLOOKUP(BH91,step02图片链接!B:E,4,0))</f>
        <v/>
      </c>
      <c r="AJ91" t="str">
        <f ca="1">IF(OR(B91="",VLOOKUP(BH91,step02图片链接!B:G,6,0)=""),"",VLOOKUP(BH91,step02图片链接!B:G,6,0))</f>
        <v/>
      </c>
      <c r="AK91" t="str">
        <f ca="1">IF(OR(B91="",VLOOKUP(BH91,step02图片链接!B:H,7,0)=""),"",VLOOKUP(BH91,step02图片链接!B:H,7,0))</f>
        <v/>
      </c>
      <c r="AL91" t="str">
        <f ca="1">IF(OR(B91="",VLOOKUP(BH91,step02图片链接!B:I,8,0)=""),"",VLOOKUP(BH91,step02图片链接!B:I,8,0))</f>
        <v/>
      </c>
      <c r="AM91" t="str">
        <f ca="1">IF(OR(B91="",VLOOKUP(BH91,step02图片链接!B:J,9,0)=""),"",VLOOKUP(BH91,step02图片链接!B:J,9,0))</f>
        <v/>
      </c>
      <c r="AN91" t="str">
        <f ca="1">IF(OR(B91="",VLOOKUP(BH91,step02图片链接!B:K,10,0)=""),"",VLOOKUP(BH91,step02图片链接!B:K,10,0))</f>
        <v/>
      </c>
      <c r="AO91" t="str">
        <f ca="1">IF(OR(B91="",VLOOKUP(BH91,step02图片链接!B:L,11,0)=""),"",VLOOKUP(BH91,step02图片链接!B:L,11,0))</f>
        <v/>
      </c>
      <c r="AP91" t="str">
        <f ca="1">IF(OR(B91="",VLOOKUP(BH91,step02图片链接!B:M,12,0)=""),"",VLOOKUP(BH91,step02图片链接!B:M,12,0))</f>
        <v/>
      </c>
      <c r="AQ91" t="str">
        <f ca="1">IF(OR(B91="",VLOOKUP(BH91,step02图片链接!B:N,13,0)=""),"",VLOOKUP(BH91,step02图片链接!B:N,13,0))</f>
        <v/>
      </c>
      <c r="AS91" t="str">
        <f ca="1" t="shared" si="67"/>
        <v/>
      </c>
      <c r="AT91" t="str">
        <f ca="1" t="shared" si="68"/>
        <v/>
      </c>
      <c r="AU91" t="str">
        <f ca="1" t="shared" si="52"/>
        <v/>
      </c>
      <c r="AV91" t="str">
        <f ca="1">IF(B91="","",step01标题尺码信息!$T$36)</f>
        <v/>
      </c>
      <c r="AZ91" t="str">
        <f ca="1">IF(B91="","",step01标题尺码信息!$S$41)</f>
        <v/>
      </c>
      <c r="BA91" t="str">
        <f ca="1">IF(B91="","",step01标题尺码信息!$S$43)</f>
        <v/>
      </c>
      <c r="BB91" t="str">
        <f ca="1">IF(B91="","",step01标题尺码信息!$S$45)</f>
        <v/>
      </c>
      <c r="BC91" t="str">
        <f ca="1">IF(B91="","",step01标题尺码信息!$S$47)</f>
        <v/>
      </c>
      <c r="BD91" t="str">
        <f ca="1">IF(B91="","",step01标题尺码信息!$S$49)</f>
        <v/>
      </c>
      <c r="BE91" t="str">
        <f ca="1">IF(B91="","",step01标题尺码信息!$S$53)</f>
        <v/>
      </c>
      <c r="BH91" t="str">
        <f ca="1">IF(B91="","",IF(DX91="Parent","",VLOOKUP(B91,step01标题尺码信息!G:P,7,0)))</f>
        <v/>
      </c>
      <c r="BI91" t="str">
        <f ca="1">IF(B91="","",IF(DX91="Parent","",VLOOKUP(B91,step01标题尺码信息!G:P,8,0)))</f>
        <v/>
      </c>
      <c r="BK91" t="str">
        <f ca="1" t="shared" si="53"/>
        <v/>
      </c>
      <c r="BL91" t="str">
        <f ca="1" t="shared" si="54"/>
        <v/>
      </c>
      <c r="BO91" t="str">
        <f ca="1" t="shared" si="55"/>
        <v/>
      </c>
      <c r="BR91" t="str">
        <f ca="1">IF(B91="","",IF(AS91="Parent","",VLOOKUP(B91,step01标题尺码信息!G:P,9,0)))</f>
        <v/>
      </c>
      <c r="CY91" t="str">
        <f ca="1" t="shared" si="56"/>
        <v/>
      </c>
      <c r="DG91" t="str">
        <f ca="1">IF(B91="","",step01标题尺码信息!$T$30)</f>
        <v/>
      </c>
      <c r="DH91" t="str">
        <f ca="1" t="shared" si="57"/>
        <v/>
      </c>
      <c r="DN91" t="str">
        <f ca="1" t="shared" si="58"/>
        <v/>
      </c>
      <c r="DW91" t="str">
        <f ca="1" t="shared" si="59"/>
        <v/>
      </c>
      <c r="ER91" t="str">
        <f ca="1">IF(B91="","",step01标题尺码信息!$T$37)</f>
        <v/>
      </c>
      <c r="ES91" t="str">
        <f ca="1" t="shared" si="60"/>
        <v/>
      </c>
      <c r="HF91" t="str">
        <f ca="1">IF(B91="","",step01标题尺码信息!$S$2)</f>
        <v/>
      </c>
      <c r="HH91" t="str">
        <f ca="1" t="shared" si="61"/>
        <v/>
      </c>
      <c r="HI91" t="str">
        <f ca="1" t="shared" si="62"/>
        <v/>
      </c>
      <c r="HL91" t="str">
        <f ca="1" t="shared" si="63"/>
        <v/>
      </c>
      <c r="IA91" t="str">
        <f ca="1" t="shared" si="64"/>
        <v/>
      </c>
    </row>
    <row r="92" spans="1:235">
      <c r="A92" t="str">
        <f ca="1">IF(B92="","",step01标题尺码信息!$B$3)</f>
        <v/>
      </c>
      <c r="B92" t="str">
        <f ca="1">IF(step01标题尺码信息!G94="","",step01标题尺码信息!G94)</f>
        <v/>
      </c>
      <c r="C92" t="str">
        <f ca="1">IF(B92="","",step01标题尺码信息!$E$3)</f>
        <v/>
      </c>
      <c r="D92" t="str">
        <f ca="1" t="shared" si="46"/>
        <v/>
      </c>
      <c r="E92" t="str">
        <f ca="1">IF(B92="","",VLOOKUP(B92,step01标题尺码信息!G:P,4,0))</f>
        <v/>
      </c>
      <c r="H92" t="str">
        <f ca="1">IF(B92="","",step01标题尺码信息!$R$19)</f>
        <v/>
      </c>
      <c r="I92" t="str">
        <f ca="1" t="shared" si="47"/>
        <v/>
      </c>
      <c r="M92" t="str">
        <f ca="1" t="shared" si="48"/>
        <v/>
      </c>
      <c r="U92" t="str">
        <f ca="1">IF(B92="","",step01标题尺码信息!$S$1)</f>
        <v/>
      </c>
      <c r="V92" t="str">
        <f ca="1" t="shared" si="49"/>
        <v/>
      </c>
      <c r="W92" t="str">
        <f ca="1">IF(B92="","",step01标题尺码信息!$V$1)</f>
        <v/>
      </c>
      <c r="X92" t="str">
        <f ca="1">IF(B92="","",step01标题尺码信息!$V$2)</f>
        <v/>
      </c>
      <c r="Y92" t="str">
        <f ca="1" t="shared" si="50"/>
        <v/>
      </c>
      <c r="Z92" t="str">
        <f ca="1" t="shared" si="51"/>
        <v/>
      </c>
      <c r="AA92" t="str">
        <f ca="1">IF(B92="","",IF(CB92="Parent","",VLOOKUP(B92,step01标题尺码信息!G:P,9,0)))</f>
        <v/>
      </c>
      <c r="AG92" t="str">
        <f ca="1" t="shared" si="65"/>
        <v/>
      </c>
      <c r="AH92" t="str">
        <f ca="1" t="shared" si="66"/>
        <v/>
      </c>
      <c r="AI92" t="str">
        <f ca="1">IF(OR(B92="",VLOOKUP(BH92,step02图片链接!B:E,4,0)=""),"",VLOOKUP(BH92,step02图片链接!B:E,4,0))</f>
        <v/>
      </c>
      <c r="AJ92" t="str">
        <f ca="1">IF(OR(B92="",VLOOKUP(BH92,step02图片链接!B:G,6,0)=""),"",VLOOKUP(BH92,step02图片链接!B:G,6,0))</f>
        <v/>
      </c>
      <c r="AK92" t="str">
        <f ca="1">IF(OR(B92="",VLOOKUP(BH92,step02图片链接!B:H,7,0)=""),"",VLOOKUP(BH92,step02图片链接!B:H,7,0))</f>
        <v/>
      </c>
      <c r="AL92" t="str">
        <f ca="1">IF(OR(B92="",VLOOKUP(BH92,step02图片链接!B:I,8,0)=""),"",VLOOKUP(BH92,step02图片链接!B:I,8,0))</f>
        <v/>
      </c>
      <c r="AM92" t="str">
        <f ca="1">IF(OR(B92="",VLOOKUP(BH92,step02图片链接!B:J,9,0)=""),"",VLOOKUP(BH92,step02图片链接!B:J,9,0))</f>
        <v/>
      </c>
      <c r="AN92" t="str">
        <f ca="1">IF(OR(B92="",VLOOKUP(BH92,step02图片链接!B:K,10,0)=""),"",VLOOKUP(BH92,step02图片链接!B:K,10,0))</f>
        <v/>
      </c>
      <c r="AO92" t="str">
        <f ca="1">IF(OR(B92="",VLOOKUP(BH92,step02图片链接!B:L,11,0)=""),"",VLOOKUP(BH92,step02图片链接!B:L,11,0))</f>
        <v/>
      </c>
      <c r="AP92" t="str">
        <f ca="1">IF(OR(B92="",VLOOKUP(BH92,step02图片链接!B:M,12,0)=""),"",VLOOKUP(BH92,step02图片链接!B:M,12,0))</f>
        <v/>
      </c>
      <c r="AQ92" t="str">
        <f ca="1">IF(OR(B92="",VLOOKUP(BH92,step02图片链接!B:N,13,0)=""),"",VLOOKUP(BH92,step02图片链接!B:N,13,0))</f>
        <v/>
      </c>
      <c r="AS92" t="str">
        <f ca="1" t="shared" si="67"/>
        <v/>
      </c>
      <c r="AT92" t="str">
        <f ca="1" t="shared" si="68"/>
        <v/>
      </c>
      <c r="AU92" t="str">
        <f ca="1" t="shared" si="52"/>
        <v/>
      </c>
      <c r="AV92" t="str">
        <f ca="1">IF(B92="","",step01标题尺码信息!$T$36)</f>
        <v/>
      </c>
      <c r="AZ92" t="str">
        <f ca="1">IF(B92="","",step01标题尺码信息!$S$41)</f>
        <v/>
      </c>
      <c r="BA92" t="str">
        <f ca="1">IF(B92="","",step01标题尺码信息!$S$43)</f>
        <v/>
      </c>
      <c r="BB92" t="str">
        <f ca="1">IF(B92="","",step01标题尺码信息!$S$45)</f>
        <v/>
      </c>
      <c r="BC92" t="str">
        <f ca="1">IF(B92="","",step01标题尺码信息!$S$47)</f>
        <v/>
      </c>
      <c r="BD92" t="str">
        <f ca="1">IF(B92="","",step01标题尺码信息!$S$49)</f>
        <v/>
      </c>
      <c r="BE92" t="str">
        <f ca="1">IF(B92="","",step01标题尺码信息!$S$53)</f>
        <v/>
      </c>
      <c r="BH92" t="str">
        <f ca="1">IF(B92="","",IF(DX92="Parent","",VLOOKUP(B92,step01标题尺码信息!G:P,7,0)))</f>
        <v/>
      </c>
      <c r="BI92" t="str">
        <f ca="1">IF(B92="","",IF(DX92="Parent","",VLOOKUP(B92,step01标题尺码信息!G:P,8,0)))</f>
        <v/>
      </c>
      <c r="BK92" t="str">
        <f ca="1" t="shared" si="53"/>
        <v/>
      </c>
      <c r="BL92" t="str">
        <f ca="1" t="shared" si="54"/>
        <v/>
      </c>
      <c r="BO92" t="str">
        <f ca="1" t="shared" si="55"/>
        <v/>
      </c>
      <c r="BR92" t="str">
        <f ca="1">IF(B92="","",IF(AS92="Parent","",VLOOKUP(B92,step01标题尺码信息!G:P,9,0)))</f>
        <v/>
      </c>
      <c r="CY92" t="str">
        <f ca="1" t="shared" si="56"/>
        <v/>
      </c>
      <c r="DG92" t="str">
        <f ca="1">IF(B92="","",step01标题尺码信息!$T$30)</f>
        <v/>
      </c>
      <c r="DH92" t="str">
        <f ca="1" t="shared" si="57"/>
        <v/>
      </c>
      <c r="DN92" t="str">
        <f ca="1" t="shared" si="58"/>
        <v/>
      </c>
      <c r="DW92" t="str">
        <f ca="1" t="shared" si="59"/>
        <v/>
      </c>
      <c r="ER92" t="str">
        <f ca="1">IF(B92="","",step01标题尺码信息!$T$37)</f>
        <v/>
      </c>
      <c r="ES92" t="str">
        <f ca="1" t="shared" si="60"/>
        <v/>
      </c>
      <c r="HF92" t="str">
        <f ca="1">IF(B92="","",step01标题尺码信息!$S$2)</f>
        <v/>
      </c>
      <c r="HH92" t="str">
        <f ca="1" t="shared" si="61"/>
        <v/>
      </c>
      <c r="HI92" t="str">
        <f ca="1" t="shared" si="62"/>
        <v/>
      </c>
      <c r="HL92" t="str">
        <f ca="1" t="shared" si="63"/>
        <v/>
      </c>
      <c r="IA92" t="str">
        <f ca="1" t="shared" si="64"/>
        <v/>
      </c>
    </row>
    <row r="93" spans="1:235">
      <c r="A93" t="str">
        <f ca="1">IF(B93="","",step01标题尺码信息!$B$3)</f>
        <v/>
      </c>
      <c r="B93" t="str">
        <f ca="1">IF(step01标题尺码信息!G95="","",step01标题尺码信息!G95)</f>
        <v/>
      </c>
      <c r="C93" t="str">
        <f ca="1">IF(B93="","",step01标题尺码信息!$E$3)</f>
        <v/>
      </c>
      <c r="D93" t="str">
        <f ca="1" t="shared" si="46"/>
        <v/>
      </c>
      <c r="E93" t="str">
        <f ca="1">IF(B93="","",VLOOKUP(B93,step01标题尺码信息!G:P,4,0))</f>
        <v/>
      </c>
      <c r="H93" t="str">
        <f ca="1">IF(B93="","",step01标题尺码信息!$R$19)</f>
        <v/>
      </c>
      <c r="I93" t="str">
        <f ca="1" t="shared" si="47"/>
        <v/>
      </c>
      <c r="M93" t="str">
        <f ca="1" t="shared" si="48"/>
        <v/>
      </c>
      <c r="U93" t="str">
        <f ca="1">IF(B93="","",step01标题尺码信息!$S$1)</f>
        <v/>
      </c>
      <c r="V93" t="str">
        <f ca="1" t="shared" si="49"/>
        <v/>
      </c>
      <c r="W93" t="str">
        <f ca="1">IF(B93="","",step01标题尺码信息!$V$1)</f>
        <v/>
      </c>
      <c r="X93" t="str">
        <f ca="1">IF(B93="","",step01标题尺码信息!$V$2)</f>
        <v/>
      </c>
      <c r="Y93" t="str">
        <f ca="1" t="shared" si="50"/>
        <v/>
      </c>
      <c r="Z93" t="str">
        <f ca="1" t="shared" si="51"/>
        <v/>
      </c>
      <c r="AA93" t="str">
        <f ca="1">IF(B93="","",IF(CB93="Parent","",VLOOKUP(B93,step01标题尺码信息!G:P,9,0)))</f>
        <v/>
      </c>
      <c r="AG93" t="str">
        <f ca="1" t="shared" si="65"/>
        <v/>
      </c>
      <c r="AH93" t="str">
        <f ca="1" t="shared" si="66"/>
        <v/>
      </c>
      <c r="AI93" t="str">
        <f ca="1">IF(OR(B93="",VLOOKUP(BH93,step02图片链接!B:E,4,0)=""),"",VLOOKUP(BH93,step02图片链接!B:E,4,0))</f>
        <v/>
      </c>
      <c r="AJ93" t="str">
        <f ca="1">IF(OR(B93="",VLOOKUP(BH93,step02图片链接!B:G,6,0)=""),"",VLOOKUP(BH93,step02图片链接!B:G,6,0))</f>
        <v/>
      </c>
      <c r="AK93" t="str">
        <f ca="1">IF(OR(B93="",VLOOKUP(BH93,step02图片链接!B:H,7,0)=""),"",VLOOKUP(BH93,step02图片链接!B:H,7,0))</f>
        <v/>
      </c>
      <c r="AL93" t="str">
        <f ca="1">IF(OR(B93="",VLOOKUP(BH93,step02图片链接!B:I,8,0)=""),"",VLOOKUP(BH93,step02图片链接!B:I,8,0))</f>
        <v/>
      </c>
      <c r="AM93" t="str">
        <f ca="1">IF(OR(B93="",VLOOKUP(BH93,step02图片链接!B:J,9,0)=""),"",VLOOKUP(BH93,step02图片链接!B:J,9,0))</f>
        <v/>
      </c>
      <c r="AN93" t="str">
        <f ca="1">IF(OR(B93="",VLOOKUP(BH93,step02图片链接!B:K,10,0)=""),"",VLOOKUP(BH93,step02图片链接!B:K,10,0))</f>
        <v/>
      </c>
      <c r="AO93" t="str">
        <f ca="1">IF(OR(B93="",VLOOKUP(BH93,step02图片链接!B:L,11,0)=""),"",VLOOKUP(BH93,step02图片链接!B:L,11,0))</f>
        <v/>
      </c>
      <c r="AP93" t="str">
        <f ca="1">IF(OR(B93="",VLOOKUP(BH93,step02图片链接!B:M,12,0)=""),"",VLOOKUP(BH93,step02图片链接!B:M,12,0))</f>
        <v/>
      </c>
      <c r="AQ93" t="str">
        <f ca="1">IF(OR(B93="",VLOOKUP(BH93,step02图片链接!B:N,13,0)=""),"",VLOOKUP(BH93,step02图片链接!B:N,13,0))</f>
        <v/>
      </c>
      <c r="AS93" t="str">
        <f ca="1" t="shared" si="67"/>
        <v/>
      </c>
      <c r="AT93" t="str">
        <f ca="1" t="shared" si="68"/>
        <v/>
      </c>
      <c r="AU93" t="str">
        <f ca="1" t="shared" si="52"/>
        <v/>
      </c>
      <c r="AV93" t="str">
        <f ca="1">IF(B93="","",step01标题尺码信息!$T$36)</f>
        <v/>
      </c>
      <c r="AZ93" t="str">
        <f ca="1">IF(B93="","",step01标题尺码信息!$S$41)</f>
        <v/>
      </c>
      <c r="BA93" t="str">
        <f ca="1">IF(B93="","",step01标题尺码信息!$S$43)</f>
        <v/>
      </c>
      <c r="BB93" t="str">
        <f ca="1">IF(B93="","",step01标题尺码信息!$S$45)</f>
        <v/>
      </c>
      <c r="BC93" t="str">
        <f ca="1">IF(B93="","",step01标题尺码信息!$S$47)</f>
        <v/>
      </c>
      <c r="BD93" t="str">
        <f ca="1">IF(B93="","",step01标题尺码信息!$S$49)</f>
        <v/>
      </c>
      <c r="BE93" t="str">
        <f ca="1">IF(B93="","",step01标题尺码信息!$S$53)</f>
        <v/>
      </c>
      <c r="BH93" t="str">
        <f ca="1">IF(B93="","",IF(DX93="Parent","",VLOOKUP(B93,step01标题尺码信息!G:P,7,0)))</f>
        <v/>
      </c>
      <c r="BI93" t="str">
        <f ca="1">IF(B93="","",IF(DX93="Parent","",VLOOKUP(B93,step01标题尺码信息!G:P,8,0)))</f>
        <v/>
      </c>
      <c r="BK93" t="str">
        <f ca="1" t="shared" si="53"/>
        <v/>
      </c>
      <c r="BL93" t="str">
        <f ca="1" t="shared" si="54"/>
        <v/>
      </c>
      <c r="BO93" t="str">
        <f ca="1" t="shared" si="55"/>
        <v/>
      </c>
      <c r="BR93" t="str">
        <f ca="1">IF(B93="","",IF(AS93="Parent","",VLOOKUP(B93,step01标题尺码信息!G:P,9,0)))</f>
        <v/>
      </c>
      <c r="CY93" t="str">
        <f ca="1" t="shared" si="56"/>
        <v/>
      </c>
      <c r="DG93" t="str">
        <f ca="1">IF(B93="","",step01标题尺码信息!$T$30)</f>
        <v/>
      </c>
      <c r="DH93" t="str">
        <f ca="1" t="shared" si="57"/>
        <v/>
      </c>
      <c r="DN93" t="str">
        <f ca="1" t="shared" si="58"/>
        <v/>
      </c>
      <c r="DW93" t="str">
        <f ca="1" t="shared" si="59"/>
        <v/>
      </c>
      <c r="ER93" t="str">
        <f ca="1">IF(B93="","",step01标题尺码信息!$T$37)</f>
        <v/>
      </c>
      <c r="ES93" t="str">
        <f ca="1" t="shared" si="60"/>
        <v/>
      </c>
      <c r="HF93" t="str">
        <f ca="1">IF(B93="","",step01标题尺码信息!$S$2)</f>
        <v/>
      </c>
      <c r="HH93" t="str">
        <f ca="1" t="shared" si="61"/>
        <v/>
      </c>
      <c r="HI93" t="str">
        <f ca="1" t="shared" si="62"/>
        <v/>
      </c>
      <c r="HL93" t="str">
        <f ca="1" t="shared" si="63"/>
        <v/>
      </c>
      <c r="IA93" t="str">
        <f ca="1" t="shared" si="64"/>
        <v/>
      </c>
    </row>
    <row r="94" spans="1:235">
      <c r="A94" t="str">
        <f ca="1">IF(B94="","",step01标题尺码信息!$B$3)</f>
        <v/>
      </c>
      <c r="B94" t="str">
        <f ca="1">IF(step01标题尺码信息!G96="","",step01标题尺码信息!G96)</f>
        <v/>
      </c>
      <c r="C94" t="str">
        <f ca="1">IF(B94="","",step01标题尺码信息!$E$3)</f>
        <v/>
      </c>
      <c r="D94" t="str">
        <f ca="1" t="shared" si="46"/>
        <v/>
      </c>
      <c r="E94" t="str">
        <f ca="1">IF(B94="","",VLOOKUP(B94,step01标题尺码信息!G:P,4,0))</f>
        <v/>
      </c>
      <c r="H94" t="str">
        <f ca="1">IF(B94="","",step01标题尺码信息!$R$19)</f>
        <v/>
      </c>
      <c r="I94" t="str">
        <f ca="1" t="shared" si="47"/>
        <v/>
      </c>
      <c r="M94" t="str">
        <f ca="1" t="shared" si="48"/>
        <v/>
      </c>
      <c r="U94" t="str">
        <f ca="1">IF(B94="","",step01标题尺码信息!$S$1)</f>
        <v/>
      </c>
      <c r="V94" t="str">
        <f ca="1" t="shared" si="49"/>
        <v/>
      </c>
      <c r="W94" t="str">
        <f ca="1">IF(B94="","",step01标题尺码信息!$V$1)</f>
        <v/>
      </c>
      <c r="X94" t="str">
        <f ca="1">IF(B94="","",step01标题尺码信息!$V$2)</f>
        <v/>
      </c>
      <c r="Y94" t="str">
        <f ca="1" t="shared" si="50"/>
        <v/>
      </c>
      <c r="Z94" t="str">
        <f ca="1" t="shared" si="51"/>
        <v/>
      </c>
      <c r="AA94" t="str">
        <f ca="1">IF(B94="","",IF(CB94="Parent","",VLOOKUP(B94,step01标题尺码信息!G:P,9,0)))</f>
        <v/>
      </c>
      <c r="AG94" t="str">
        <f ca="1" t="shared" si="65"/>
        <v/>
      </c>
      <c r="AH94" t="str">
        <f ca="1" t="shared" si="66"/>
        <v/>
      </c>
      <c r="AI94" t="str">
        <f ca="1">IF(OR(B94="",VLOOKUP(BH94,step02图片链接!B:E,4,0)=""),"",VLOOKUP(BH94,step02图片链接!B:E,4,0))</f>
        <v/>
      </c>
      <c r="AJ94" t="str">
        <f ca="1">IF(OR(B94="",VLOOKUP(BH94,step02图片链接!B:G,6,0)=""),"",VLOOKUP(BH94,step02图片链接!B:G,6,0))</f>
        <v/>
      </c>
      <c r="AK94" t="str">
        <f ca="1">IF(OR(B94="",VLOOKUP(BH94,step02图片链接!B:H,7,0)=""),"",VLOOKUP(BH94,step02图片链接!B:H,7,0))</f>
        <v/>
      </c>
      <c r="AL94" t="str">
        <f ca="1">IF(OR(B94="",VLOOKUP(BH94,step02图片链接!B:I,8,0)=""),"",VLOOKUP(BH94,step02图片链接!B:I,8,0))</f>
        <v/>
      </c>
      <c r="AM94" t="str">
        <f ca="1">IF(OR(B94="",VLOOKUP(BH94,step02图片链接!B:J,9,0)=""),"",VLOOKUP(BH94,step02图片链接!B:J,9,0))</f>
        <v/>
      </c>
      <c r="AN94" t="str">
        <f ca="1">IF(OR(B94="",VLOOKUP(BH94,step02图片链接!B:K,10,0)=""),"",VLOOKUP(BH94,step02图片链接!B:K,10,0))</f>
        <v/>
      </c>
      <c r="AO94" t="str">
        <f ca="1">IF(OR(B94="",VLOOKUP(BH94,step02图片链接!B:L,11,0)=""),"",VLOOKUP(BH94,step02图片链接!B:L,11,0))</f>
        <v/>
      </c>
      <c r="AP94" t="str">
        <f ca="1">IF(OR(B94="",VLOOKUP(BH94,step02图片链接!B:M,12,0)=""),"",VLOOKUP(BH94,step02图片链接!B:M,12,0))</f>
        <v/>
      </c>
      <c r="AQ94" t="str">
        <f ca="1">IF(OR(B94="",VLOOKUP(BH94,step02图片链接!B:N,13,0)=""),"",VLOOKUP(BH94,step02图片链接!B:N,13,0))</f>
        <v/>
      </c>
      <c r="AS94" t="str">
        <f ca="1" t="shared" si="67"/>
        <v/>
      </c>
      <c r="AT94" t="str">
        <f ca="1" t="shared" si="68"/>
        <v/>
      </c>
      <c r="AU94" t="str">
        <f ca="1" t="shared" si="52"/>
        <v/>
      </c>
      <c r="AV94" t="str">
        <f ca="1">IF(B94="","",step01标题尺码信息!$T$36)</f>
        <v/>
      </c>
      <c r="AZ94" t="str">
        <f ca="1">IF(B94="","",step01标题尺码信息!$S$41)</f>
        <v/>
      </c>
      <c r="BA94" t="str">
        <f ca="1">IF(B94="","",step01标题尺码信息!$S$43)</f>
        <v/>
      </c>
      <c r="BB94" t="str">
        <f ca="1">IF(B94="","",step01标题尺码信息!$S$45)</f>
        <v/>
      </c>
      <c r="BC94" t="str">
        <f ca="1">IF(B94="","",step01标题尺码信息!$S$47)</f>
        <v/>
      </c>
      <c r="BD94" t="str">
        <f ca="1">IF(B94="","",step01标题尺码信息!$S$49)</f>
        <v/>
      </c>
      <c r="BE94" t="str">
        <f ca="1">IF(B94="","",step01标题尺码信息!$S$53)</f>
        <v/>
      </c>
      <c r="BH94" t="str">
        <f ca="1">IF(B94="","",IF(DX94="Parent","",VLOOKUP(B94,step01标题尺码信息!G:P,7,0)))</f>
        <v/>
      </c>
      <c r="BI94" t="str">
        <f ca="1">IF(B94="","",IF(DX94="Parent","",VLOOKUP(B94,step01标题尺码信息!G:P,8,0)))</f>
        <v/>
      </c>
      <c r="BK94" t="str">
        <f ca="1" t="shared" si="53"/>
        <v/>
      </c>
      <c r="BL94" t="str">
        <f ca="1" t="shared" si="54"/>
        <v/>
      </c>
      <c r="BO94" t="str">
        <f ca="1" t="shared" si="55"/>
        <v/>
      </c>
      <c r="BR94" t="str">
        <f ca="1">IF(B94="","",IF(AS94="Parent","",VLOOKUP(B94,step01标题尺码信息!G:P,9,0)))</f>
        <v/>
      </c>
      <c r="CY94" t="str">
        <f ca="1" t="shared" si="56"/>
        <v/>
      </c>
      <c r="DG94" t="str">
        <f ca="1">IF(B94="","",step01标题尺码信息!$T$30)</f>
        <v/>
      </c>
      <c r="DH94" t="str">
        <f ca="1" t="shared" si="57"/>
        <v/>
      </c>
      <c r="DN94" t="str">
        <f ca="1" t="shared" si="58"/>
        <v/>
      </c>
      <c r="DW94" t="str">
        <f ca="1" t="shared" si="59"/>
        <v/>
      </c>
      <c r="ER94" t="str">
        <f ca="1">IF(B94="","",step01标题尺码信息!$T$37)</f>
        <v/>
      </c>
      <c r="ES94" t="str">
        <f ca="1" t="shared" si="60"/>
        <v/>
      </c>
      <c r="HF94" t="str">
        <f ca="1">IF(B94="","",step01标题尺码信息!$S$2)</f>
        <v/>
      </c>
      <c r="HH94" t="str">
        <f ca="1" t="shared" si="61"/>
        <v/>
      </c>
      <c r="HI94" t="str">
        <f ca="1" t="shared" si="62"/>
        <v/>
      </c>
      <c r="HL94" t="str">
        <f ca="1" t="shared" si="63"/>
        <v/>
      </c>
      <c r="IA94" t="str">
        <f ca="1" t="shared" si="64"/>
        <v/>
      </c>
    </row>
    <row r="95" spans="1:235">
      <c r="A95" t="str">
        <f ca="1">IF(B95="","",step01标题尺码信息!$B$3)</f>
        <v/>
      </c>
      <c r="B95" t="str">
        <f ca="1">IF(step01标题尺码信息!G97="","",step01标题尺码信息!G97)</f>
        <v/>
      </c>
      <c r="C95" t="str">
        <f ca="1">IF(B95="","",step01标题尺码信息!$E$3)</f>
        <v/>
      </c>
      <c r="D95" t="str">
        <f ca="1" t="shared" si="46"/>
        <v/>
      </c>
      <c r="E95" t="str">
        <f ca="1">IF(B95="","",VLOOKUP(B95,step01标题尺码信息!G:P,4,0))</f>
        <v/>
      </c>
      <c r="H95" t="str">
        <f ca="1">IF(B95="","",step01标题尺码信息!$R$19)</f>
        <v/>
      </c>
      <c r="I95" t="str">
        <f ca="1" t="shared" si="47"/>
        <v/>
      </c>
      <c r="M95" t="str">
        <f ca="1" t="shared" si="48"/>
        <v/>
      </c>
      <c r="U95" t="str">
        <f ca="1">IF(B95="","",step01标题尺码信息!$S$1)</f>
        <v/>
      </c>
      <c r="V95" t="str">
        <f ca="1" t="shared" si="49"/>
        <v/>
      </c>
      <c r="W95" t="str">
        <f ca="1">IF(B95="","",step01标题尺码信息!$V$1)</f>
        <v/>
      </c>
      <c r="X95" t="str">
        <f ca="1">IF(B95="","",step01标题尺码信息!$V$2)</f>
        <v/>
      </c>
      <c r="Y95" t="str">
        <f ca="1" t="shared" si="50"/>
        <v/>
      </c>
      <c r="Z95" t="str">
        <f ca="1" t="shared" si="51"/>
        <v/>
      </c>
      <c r="AA95" t="str">
        <f ca="1">IF(B95="","",IF(CB95="Parent","",VLOOKUP(B95,step01标题尺码信息!G:P,9,0)))</f>
        <v/>
      </c>
      <c r="AG95" t="str">
        <f ca="1" t="shared" si="65"/>
        <v/>
      </c>
      <c r="AH95" t="str">
        <f ca="1" t="shared" si="66"/>
        <v/>
      </c>
      <c r="AI95" t="str">
        <f ca="1">IF(OR(B95="",VLOOKUP(BH95,step02图片链接!B:E,4,0)=""),"",VLOOKUP(BH95,step02图片链接!B:E,4,0))</f>
        <v/>
      </c>
      <c r="AJ95" t="str">
        <f ca="1">IF(OR(B95="",VLOOKUP(BH95,step02图片链接!B:G,6,0)=""),"",VLOOKUP(BH95,step02图片链接!B:G,6,0))</f>
        <v/>
      </c>
      <c r="AK95" t="str">
        <f ca="1">IF(OR(B95="",VLOOKUP(BH95,step02图片链接!B:H,7,0)=""),"",VLOOKUP(BH95,step02图片链接!B:H,7,0))</f>
        <v/>
      </c>
      <c r="AL95" t="str">
        <f ca="1">IF(OR(B95="",VLOOKUP(BH95,step02图片链接!B:I,8,0)=""),"",VLOOKUP(BH95,step02图片链接!B:I,8,0))</f>
        <v/>
      </c>
      <c r="AM95" t="str">
        <f ca="1">IF(OR(B95="",VLOOKUP(BH95,step02图片链接!B:J,9,0)=""),"",VLOOKUP(BH95,step02图片链接!B:J,9,0))</f>
        <v/>
      </c>
      <c r="AN95" t="str">
        <f ca="1">IF(OR(B95="",VLOOKUP(BH95,step02图片链接!B:K,10,0)=""),"",VLOOKUP(BH95,step02图片链接!B:K,10,0))</f>
        <v/>
      </c>
      <c r="AO95" t="str">
        <f ca="1">IF(OR(B95="",VLOOKUP(BH95,step02图片链接!B:L,11,0)=""),"",VLOOKUP(BH95,step02图片链接!B:L,11,0))</f>
        <v/>
      </c>
      <c r="AP95" t="str">
        <f ca="1">IF(OR(B95="",VLOOKUP(BH95,step02图片链接!B:M,12,0)=""),"",VLOOKUP(BH95,step02图片链接!B:M,12,0))</f>
        <v/>
      </c>
      <c r="AQ95" t="str">
        <f ca="1">IF(OR(B95="",VLOOKUP(BH95,step02图片链接!B:N,13,0)=""),"",VLOOKUP(BH95,step02图片链接!B:N,13,0))</f>
        <v/>
      </c>
      <c r="AS95" t="str">
        <f ca="1" t="shared" si="67"/>
        <v/>
      </c>
      <c r="AT95" t="str">
        <f ca="1" t="shared" si="68"/>
        <v/>
      </c>
      <c r="AU95" t="str">
        <f ca="1" t="shared" si="52"/>
        <v/>
      </c>
      <c r="AV95" t="str">
        <f ca="1">IF(B95="","",step01标题尺码信息!$T$36)</f>
        <v/>
      </c>
      <c r="AZ95" t="str">
        <f ca="1">IF(B95="","",step01标题尺码信息!$S$41)</f>
        <v/>
      </c>
      <c r="BA95" t="str">
        <f ca="1">IF(B95="","",step01标题尺码信息!$S$43)</f>
        <v/>
      </c>
      <c r="BB95" t="str">
        <f ca="1">IF(B95="","",step01标题尺码信息!$S$45)</f>
        <v/>
      </c>
      <c r="BC95" t="str">
        <f ca="1">IF(B95="","",step01标题尺码信息!$S$47)</f>
        <v/>
      </c>
      <c r="BD95" t="str">
        <f ca="1">IF(B95="","",step01标题尺码信息!$S$49)</f>
        <v/>
      </c>
      <c r="BE95" t="str">
        <f ca="1">IF(B95="","",step01标题尺码信息!$S$53)</f>
        <v/>
      </c>
      <c r="BH95" t="str">
        <f ca="1">IF(B95="","",IF(DX95="Parent","",VLOOKUP(B95,step01标题尺码信息!G:P,7,0)))</f>
        <v/>
      </c>
      <c r="BI95" t="str">
        <f ca="1">IF(B95="","",IF(DX95="Parent","",VLOOKUP(B95,step01标题尺码信息!G:P,8,0)))</f>
        <v/>
      </c>
      <c r="BK95" t="str">
        <f ca="1" t="shared" si="53"/>
        <v/>
      </c>
      <c r="BL95" t="str">
        <f ca="1" t="shared" si="54"/>
        <v/>
      </c>
      <c r="BO95" t="str">
        <f ca="1" t="shared" si="55"/>
        <v/>
      </c>
      <c r="BR95" t="str">
        <f ca="1">IF(B95="","",IF(AS95="Parent","",VLOOKUP(B95,step01标题尺码信息!G:P,9,0)))</f>
        <v/>
      </c>
      <c r="CY95" t="str">
        <f ca="1" t="shared" si="56"/>
        <v/>
      </c>
      <c r="DG95" t="str">
        <f ca="1">IF(B95="","",step01标题尺码信息!$T$30)</f>
        <v/>
      </c>
      <c r="DH95" t="str">
        <f ca="1" t="shared" si="57"/>
        <v/>
      </c>
      <c r="DN95" t="str">
        <f ca="1" t="shared" si="58"/>
        <v/>
      </c>
      <c r="DW95" t="str">
        <f ca="1" t="shared" si="59"/>
        <v/>
      </c>
      <c r="ER95" t="str">
        <f ca="1">IF(B95="","",step01标题尺码信息!$T$37)</f>
        <v/>
      </c>
      <c r="ES95" t="str">
        <f ca="1" t="shared" si="60"/>
        <v/>
      </c>
      <c r="HF95" t="str">
        <f ca="1">IF(B95="","",step01标题尺码信息!$S$2)</f>
        <v/>
      </c>
      <c r="HH95" t="str">
        <f ca="1" t="shared" si="61"/>
        <v/>
      </c>
      <c r="HI95" t="str">
        <f ca="1" t="shared" si="62"/>
        <v/>
      </c>
      <c r="HL95" t="str">
        <f ca="1" t="shared" si="63"/>
        <v/>
      </c>
      <c r="IA95" t="str">
        <f ca="1" t="shared" si="64"/>
        <v/>
      </c>
    </row>
    <row r="96" spans="1:235">
      <c r="A96" t="str">
        <f ca="1">IF(B96="","",step01标题尺码信息!$B$3)</f>
        <v/>
      </c>
      <c r="B96" t="str">
        <f ca="1">IF(step01标题尺码信息!G98="","",step01标题尺码信息!G98)</f>
        <v/>
      </c>
      <c r="C96" t="str">
        <f ca="1">IF(B96="","",step01标题尺码信息!$E$3)</f>
        <v/>
      </c>
      <c r="D96" t="str">
        <f ca="1" t="shared" si="46"/>
        <v/>
      </c>
      <c r="E96" t="str">
        <f ca="1">IF(B96="","",VLOOKUP(B96,step01标题尺码信息!G:P,4,0))</f>
        <v/>
      </c>
      <c r="H96" t="str">
        <f ca="1">IF(B96="","",step01标题尺码信息!$R$19)</f>
        <v/>
      </c>
      <c r="I96" t="str">
        <f ca="1" t="shared" si="47"/>
        <v/>
      </c>
      <c r="M96" t="str">
        <f ca="1" t="shared" si="48"/>
        <v/>
      </c>
      <c r="U96" t="str">
        <f ca="1">IF(B96="","",step01标题尺码信息!$S$1)</f>
        <v/>
      </c>
      <c r="V96" t="str">
        <f ca="1" t="shared" si="49"/>
        <v/>
      </c>
      <c r="W96" t="str">
        <f ca="1">IF(B96="","",step01标题尺码信息!$V$1)</f>
        <v/>
      </c>
      <c r="X96" t="str">
        <f ca="1">IF(B96="","",step01标题尺码信息!$V$2)</f>
        <v/>
      </c>
      <c r="Y96" t="str">
        <f ca="1" t="shared" si="50"/>
        <v/>
      </c>
      <c r="Z96" t="str">
        <f ca="1" t="shared" si="51"/>
        <v/>
      </c>
      <c r="AA96" t="str">
        <f ca="1">IF(B96="","",IF(CB96="Parent","",VLOOKUP(B96,step01标题尺码信息!G:P,9,0)))</f>
        <v/>
      </c>
      <c r="AG96" t="str">
        <f ca="1" t="shared" si="65"/>
        <v/>
      </c>
      <c r="AH96" t="str">
        <f ca="1" t="shared" si="66"/>
        <v/>
      </c>
      <c r="AI96" t="str">
        <f ca="1">IF(OR(B96="",VLOOKUP(BH96,step02图片链接!B:E,4,0)=""),"",VLOOKUP(BH96,step02图片链接!B:E,4,0))</f>
        <v/>
      </c>
      <c r="AJ96" t="str">
        <f ca="1">IF(OR(B96="",VLOOKUP(BH96,step02图片链接!B:G,6,0)=""),"",VLOOKUP(BH96,step02图片链接!B:G,6,0))</f>
        <v/>
      </c>
      <c r="AK96" t="str">
        <f ca="1">IF(OR(B96="",VLOOKUP(BH96,step02图片链接!B:H,7,0)=""),"",VLOOKUP(BH96,step02图片链接!B:H,7,0))</f>
        <v/>
      </c>
      <c r="AL96" t="str">
        <f ca="1">IF(OR(B96="",VLOOKUP(BH96,step02图片链接!B:I,8,0)=""),"",VLOOKUP(BH96,step02图片链接!B:I,8,0))</f>
        <v/>
      </c>
      <c r="AM96" t="str">
        <f ca="1">IF(OR(B96="",VLOOKUP(BH96,step02图片链接!B:J,9,0)=""),"",VLOOKUP(BH96,step02图片链接!B:J,9,0))</f>
        <v/>
      </c>
      <c r="AN96" t="str">
        <f ca="1">IF(OR(B96="",VLOOKUP(BH96,step02图片链接!B:K,10,0)=""),"",VLOOKUP(BH96,step02图片链接!B:K,10,0))</f>
        <v/>
      </c>
      <c r="AO96" t="str">
        <f ca="1">IF(OR(B96="",VLOOKUP(BH96,step02图片链接!B:L,11,0)=""),"",VLOOKUP(BH96,step02图片链接!B:L,11,0))</f>
        <v/>
      </c>
      <c r="AP96" t="str">
        <f ca="1">IF(OR(B96="",VLOOKUP(BH96,step02图片链接!B:M,12,0)=""),"",VLOOKUP(BH96,step02图片链接!B:M,12,0))</f>
        <v/>
      </c>
      <c r="AQ96" t="str">
        <f ca="1">IF(OR(B96="",VLOOKUP(BH96,step02图片链接!B:N,13,0)=""),"",VLOOKUP(BH96,step02图片链接!B:N,13,0))</f>
        <v/>
      </c>
      <c r="AS96" t="str">
        <f ca="1" t="shared" si="67"/>
        <v/>
      </c>
      <c r="AT96" t="str">
        <f ca="1" t="shared" si="68"/>
        <v/>
      </c>
      <c r="AU96" t="str">
        <f ca="1" t="shared" si="52"/>
        <v/>
      </c>
      <c r="AV96" t="str">
        <f ca="1">IF(B96="","",step01标题尺码信息!$T$36)</f>
        <v/>
      </c>
      <c r="AZ96" t="str">
        <f ca="1">IF(B96="","",step01标题尺码信息!$S$41)</f>
        <v/>
      </c>
      <c r="BA96" t="str">
        <f ca="1">IF(B96="","",step01标题尺码信息!$S$43)</f>
        <v/>
      </c>
      <c r="BB96" t="str">
        <f ca="1">IF(B96="","",step01标题尺码信息!$S$45)</f>
        <v/>
      </c>
      <c r="BC96" t="str">
        <f ca="1">IF(B96="","",step01标题尺码信息!$S$47)</f>
        <v/>
      </c>
      <c r="BD96" t="str">
        <f ca="1">IF(B96="","",step01标题尺码信息!$S$49)</f>
        <v/>
      </c>
      <c r="BE96" t="str">
        <f ca="1">IF(B96="","",step01标题尺码信息!$S$53)</f>
        <v/>
      </c>
      <c r="BH96" t="str">
        <f ca="1">IF(B96="","",IF(DX96="Parent","",VLOOKUP(B96,step01标题尺码信息!G:P,7,0)))</f>
        <v/>
      </c>
      <c r="BI96" t="str">
        <f ca="1">IF(B96="","",IF(DX96="Parent","",VLOOKUP(B96,step01标题尺码信息!G:P,8,0)))</f>
        <v/>
      </c>
      <c r="BK96" t="str">
        <f ca="1" t="shared" si="53"/>
        <v/>
      </c>
      <c r="BL96" t="str">
        <f ca="1" t="shared" si="54"/>
        <v/>
      </c>
      <c r="BO96" t="str">
        <f ca="1" t="shared" si="55"/>
        <v/>
      </c>
      <c r="BR96" t="str">
        <f ca="1">IF(B96="","",IF(AS96="Parent","",VLOOKUP(B96,step01标题尺码信息!G:P,9,0)))</f>
        <v/>
      </c>
      <c r="CY96" t="str">
        <f ca="1" t="shared" si="56"/>
        <v/>
      </c>
      <c r="DG96" t="str">
        <f ca="1">IF(B96="","",step01标题尺码信息!$T$30)</f>
        <v/>
      </c>
      <c r="DH96" t="str">
        <f ca="1" t="shared" si="57"/>
        <v/>
      </c>
      <c r="DN96" t="str">
        <f ca="1" t="shared" si="58"/>
        <v/>
      </c>
      <c r="DW96" t="str">
        <f ca="1" t="shared" si="59"/>
        <v/>
      </c>
      <c r="ER96" t="str">
        <f ca="1">IF(B96="","",step01标题尺码信息!$T$37)</f>
        <v/>
      </c>
      <c r="ES96" t="str">
        <f ca="1" t="shared" si="60"/>
        <v/>
      </c>
      <c r="HF96" t="str">
        <f ca="1">IF(B96="","",step01标题尺码信息!$S$2)</f>
        <v/>
      </c>
      <c r="HH96" t="str">
        <f ca="1" t="shared" si="61"/>
        <v/>
      </c>
      <c r="HI96" t="str">
        <f ca="1" t="shared" si="62"/>
        <v/>
      </c>
      <c r="HL96" t="str">
        <f ca="1" t="shared" si="63"/>
        <v/>
      </c>
      <c r="IA96" t="str">
        <f ca="1" t="shared" si="64"/>
        <v/>
      </c>
    </row>
    <row r="97" spans="1:235">
      <c r="A97" t="str">
        <f ca="1">IF(B97="","",step01标题尺码信息!$B$3)</f>
        <v/>
      </c>
      <c r="B97" t="str">
        <f ca="1">IF(step01标题尺码信息!G99="","",step01标题尺码信息!G99)</f>
        <v/>
      </c>
      <c r="C97" t="str">
        <f ca="1">IF(B97="","",step01标题尺码信息!$E$3)</f>
        <v/>
      </c>
      <c r="D97" t="str">
        <f ca="1" t="shared" si="46"/>
        <v/>
      </c>
      <c r="E97" t="str">
        <f ca="1">IF(B97="","",VLOOKUP(B97,step01标题尺码信息!G:P,4,0))</f>
        <v/>
      </c>
      <c r="H97" t="str">
        <f ca="1">IF(B97="","",step01标题尺码信息!$R$19)</f>
        <v/>
      </c>
      <c r="I97" t="str">
        <f ca="1" t="shared" si="47"/>
        <v/>
      </c>
      <c r="M97" t="str">
        <f ca="1" t="shared" si="48"/>
        <v/>
      </c>
      <c r="U97" t="str">
        <f ca="1">IF(B97="","",step01标题尺码信息!$S$1)</f>
        <v/>
      </c>
      <c r="V97" t="str">
        <f ca="1" t="shared" si="49"/>
        <v/>
      </c>
      <c r="W97" t="str">
        <f ca="1">IF(B97="","",step01标题尺码信息!$V$1)</f>
        <v/>
      </c>
      <c r="X97" t="str">
        <f ca="1">IF(B97="","",step01标题尺码信息!$V$2)</f>
        <v/>
      </c>
      <c r="Y97" t="str">
        <f ca="1" t="shared" si="50"/>
        <v/>
      </c>
      <c r="Z97" t="str">
        <f ca="1" t="shared" si="51"/>
        <v/>
      </c>
      <c r="AA97" t="str">
        <f ca="1">IF(B97="","",IF(CB97="Parent","",VLOOKUP(B97,step01标题尺码信息!G:P,9,0)))</f>
        <v/>
      </c>
      <c r="AG97" t="str">
        <f ca="1" t="shared" si="65"/>
        <v/>
      </c>
      <c r="AH97" t="str">
        <f ca="1" t="shared" si="66"/>
        <v/>
      </c>
      <c r="AI97" t="str">
        <f ca="1">IF(OR(B97="",VLOOKUP(BH97,step02图片链接!B:E,4,0)=""),"",VLOOKUP(BH97,step02图片链接!B:E,4,0))</f>
        <v/>
      </c>
      <c r="AJ97" t="str">
        <f ca="1">IF(OR(B97="",VLOOKUP(BH97,step02图片链接!B:G,6,0)=""),"",VLOOKUP(BH97,step02图片链接!B:G,6,0))</f>
        <v/>
      </c>
      <c r="AK97" t="str">
        <f ca="1">IF(OR(B97="",VLOOKUP(BH97,step02图片链接!B:H,7,0)=""),"",VLOOKUP(BH97,step02图片链接!B:H,7,0))</f>
        <v/>
      </c>
      <c r="AL97" t="str">
        <f ca="1">IF(OR(B97="",VLOOKUP(BH97,step02图片链接!B:I,8,0)=""),"",VLOOKUP(BH97,step02图片链接!B:I,8,0))</f>
        <v/>
      </c>
      <c r="AM97" t="str">
        <f ca="1">IF(OR(B97="",VLOOKUP(BH97,step02图片链接!B:J,9,0)=""),"",VLOOKUP(BH97,step02图片链接!B:J,9,0))</f>
        <v/>
      </c>
      <c r="AN97" t="str">
        <f ca="1">IF(OR(B97="",VLOOKUP(BH97,step02图片链接!B:K,10,0)=""),"",VLOOKUP(BH97,step02图片链接!B:K,10,0))</f>
        <v/>
      </c>
      <c r="AO97" t="str">
        <f ca="1">IF(OR(B97="",VLOOKUP(BH97,step02图片链接!B:L,11,0)=""),"",VLOOKUP(BH97,step02图片链接!B:L,11,0))</f>
        <v/>
      </c>
      <c r="AP97" t="str">
        <f ca="1">IF(OR(B97="",VLOOKUP(BH97,step02图片链接!B:M,12,0)=""),"",VLOOKUP(BH97,step02图片链接!B:M,12,0))</f>
        <v/>
      </c>
      <c r="AQ97" t="str">
        <f ca="1">IF(OR(B97="",VLOOKUP(BH97,step02图片链接!B:N,13,0)=""),"",VLOOKUP(BH97,step02图片链接!B:N,13,0))</f>
        <v/>
      </c>
      <c r="AS97" t="str">
        <f ca="1" t="shared" si="67"/>
        <v/>
      </c>
      <c r="AT97" t="str">
        <f ca="1" t="shared" si="68"/>
        <v/>
      </c>
      <c r="AU97" t="str">
        <f ca="1" t="shared" si="52"/>
        <v/>
      </c>
      <c r="AV97" t="str">
        <f ca="1">IF(B97="","",step01标题尺码信息!$T$36)</f>
        <v/>
      </c>
      <c r="AZ97" t="str">
        <f ca="1">IF(B97="","",step01标题尺码信息!$S$41)</f>
        <v/>
      </c>
      <c r="BA97" t="str">
        <f ca="1">IF(B97="","",step01标题尺码信息!$S$43)</f>
        <v/>
      </c>
      <c r="BB97" t="str">
        <f ca="1">IF(B97="","",step01标题尺码信息!$S$45)</f>
        <v/>
      </c>
      <c r="BC97" t="str">
        <f ca="1">IF(B97="","",step01标题尺码信息!$S$47)</f>
        <v/>
      </c>
      <c r="BD97" t="str">
        <f ca="1">IF(B97="","",step01标题尺码信息!$S$49)</f>
        <v/>
      </c>
      <c r="BE97" t="str">
        <f ca="1">IF(B97="","",step01标题尺码信息!$S$53)</f>
        <v/>
      </c>
      <c r="BH97" t="str">
        <f ca="1">IF(B97="","",IF(DX97="Parent","",VLOOKUP(B97,step01标题尺码信息!G:P,7,0)))</f>
        <v/>
      </c>
      <c r="BI97" t="str">
        <f ca="1">IF(B97="","",IF(DX97="Parent","",VLOOKUP(B97,step01标题尺码信息!G:P,8,0)))</f>
        <v/>
      </c>
      <c r="BK97" t="str">
        <f ca="1" t="shared" si="53"/>
        <v/>
      </c>
      <c r="BL97" t="str">
        <f ca="1" t="shared" si="54"/>
        <v/>
      </c>
      <c r="BO97" t="str">
        <f ca="1" t="shared" si="55"/>
        <v/>
      </c>
      <c r="BR97" t="str">
        <f ca="1">IF(B97="","",IF(AS97="Parent","",VLOOKUP(B97,step01标题尺码信息!G:P,9,0)))</f>
        <v/>
      </c>
      <c r="CY97" t="str">
        <f ca="1" t="shared" si="56"/>
        <v/>
      </c>
      <c r="DG97" t="str">
        <f ca="1">IF(B97="","",step01标题尺码信息!$T$30)</f>
        <v/>
      </c>
      <c r="DH97" t="str">
        <f ca="1" t="shared" si="57"/>
        <v/>
      </c>
      <c r="DN97" t="str">
        <f ca="1" t="shared" si="58"/>
        <v/>
      </c>
      <c r="DW97" t="str">
        <f ca="1" t="shared" si="59"/>
        <v/>
      </c>
      <c r="ER97" t="str">
        <f ca="1">IF(B97="","",step01标题尺码信息!$T$37)</f>
        <v/>
      </c>
      <c r="ES97" t="str">
        <f ca="1" t="shared" si="60"/>
        <v/>
      </c>
      <c r="HF97" t="str">
        <f ca="1">IF(B97="","",step01标题尺码信息!$S$2)</f>
        <v/>
      </c>
      <c r="HH97" t="str">
        <f ca="1" t="shared" si="61"/>
        <v/>
      </c>
      <c r="HI97" t="str">
        <f ca="1" t="shared" si="62"/>
        <v/>
      </c>
      <c r="HL97" t="str">
        <f ca="1" t="shared" si="63"/>
        <v/>
      </c>
      <c r="IA97" t="str">
        <f ca="1" t="shared" si="64"/>
        <v/>
      </c>
    </row>
    <row r="98" spans="1:235">
      <c r="A98" t="str">
        <f ca="1">IF(B98="","",step01标题尺码信息!$B$3)</f>
        <v/>
      </c>
      <c r="B98" t="str">
        <f ca="1">IF(step01标题尺码信息!G100="","",step01标题尺码信息!G100)</f>
        <v/>
      </c>
      <c r="C98" t="str">
        <f ca="1">IF(B98="","",step01标题尺码信息!$E$3)</f>
        <v/>
      </c>
      <c r="D98" t="str">
        <f ca="1" t="shared" si="46"/>
        <v/>
      </c>
      <c r="E98" t="str">
        <f ca="1">IF(B98="","",VLOOKUP(B98,step01标题尺码信息!G:P,4,0))</f>
        <v/>
      </c>
      <c r="H98" t="str">
        <f ca="1">IF(B98="","",step01标题尺码信息!$R$19)</f>
        <v/>
      </c>
      <c r="I98" t="str">
        <f ca="1" t="shared" si="47"/>
        <v/>
      </c>
      <c r="M98" t="str">
        <f ca="1" t="shared" si="48"/>
        <v/>
      </c>
      <c r="U98" t="str">
        <f ca="1">IF(B98="","",step01标题尺码信息!$S$1)</f>
        <v/>
      </c>
      <c r="V98" t="str">
        <f ca="1" t="shared" si="49"/>
        <v/>
      </c>
      <c r="W98" t="str">
        <f ca="1">IF(B98="","",step01标题尺码信息!$V$1)</f>
        <v/>
      </c>
      <c r="X98" t="str">
        <f ca="1">IF(B98="","",step01标题尺码信息!$V$2)</f>
        <v/>
      </c>
      <c r="Y98" t="str">
        <f ca="1" t="shared" si="50"/>
        <v/>
      </c>
      <c r="Z98" t="str">
        <f ca="1" t="shared" si="51"/>
        <v/>
      </c>
      <c r="AA98" t="str">
        <f ca="1">IF(B98="","",IF(CB98="Parent","",VLOOKUP(B98,step01标题尺码信息!G:P,9,0)))</f>
        <v/>
      </c>
      <c r="AG98" t="str">
        <f ca="1" t="shared" si="65"/>
        <v/>
      </c>
      <c r="AH98" t="str">
        <f ca="1" t="shared" si="66"/>
        <v/>
      </c>
      <c r="AI98" t="str">
        <f ca="1">IF(OR(B98="",VLOOKUP(BH98,step02图片链接!B:E,4,0)=""),"",VLOOKUP(BH98,step02图片链接!B:E,4,0))</f>
        <v/>
      </c>
      <c r="AJ98" t="str">
        <f ca="1">IF(OR(B98="",VLOOKUP(BH98,step02图片链接!B:G,6,0)=""),"",VLOOKUP(BH98,step02图片链接!B:G,6,0))</f>
        <v/>
      </c>
      <c r="AK98" t="str">
        <f ca="1">IF(OR(B98="",VLOOKUP(BH98,step02图片链接!B:H,7,0)=""),"",VLOOKUP(BH98,step02图片链接!B:H,7,0))</f>
        <v/>
      </c>
      <c r="AL98" t="str">
        <f ca="1">IF(OR(B98="",VLOOKUP(BH98,step02图片链接!B:I,8,0)=""),"",VLOOKUP(BH98,step02图片链接!B:I,8,0))</f>
        <v/>
      </c>
      <c r="AM98" t="str">
        <f ca="1">IF(OR(B98="",VLOOKUP(BH98,step02图片链接!B:J,9,0)=""),"",VLOOKUP(BH98,step02图片链接!B:J,9,0))</f>
        <v/>
      </c>
      <c r="AN98" t="str">
        <f ca="1">IF(OR(B98="",VLOOKUP(BH98,step02图片链接!B:K,10,0)=""),"",VLOOKUP(BH98,step02图片链接!B:K,10,0))</f>
        <v/>
      </c>
      <c r="AO98" t="str">
        <f ca="1">IF(OR(B98="",VLOOKUP(BH98,step02图片链接!B:L,11,0)=""),"",VLOOKUP(BH98,step02图片链接!B:L,11,0))</f>
        <v/>
      </c>
      <c r="AP98" t="str">
        <f ca="1">IF(OR(B98="",VLOOKUP(BH98,step02图片链接!B:M,12,0)=""),"",VLOOKUP(BH98,step02图片链接!B:M,12,0))</f>
        <v/>
      </c>
      <c r="AQ98" t="str">
        <f ca="1">IF(OR(B98="",VLOOKUP(BH98,step02图片链接!B:N,13,0)=""),"",VLOOKUP(BH98,step02图片链接!B:N,13,0))</f>
        <v/>
      </c>
      <c r="AS98" t="str">
        <f ca="1" t="shared" si="67"/>
        <v/>
      </c>
      <c r="AT98" t="str">
        <f ca="1" t="shared" si="68"/>
        <v/>
      </c>
      <c r="AU98" t="str">
        <f ca="1" t="shared" si="52"/>
        <v/>
      </c>
      <c r="AV98" t="str">
        <f ca="1">IF(B98="","",step01标题尺码信息!$T$36)</f>
        <v/>
      </c>
      <c r="AZ98" t="str">
        <f ca="1">IF(B98="","",step01标题尺码信息!$S$41)</f>
        <v/>
      </c>
      <c r="BA98" t="str">
        <f ca="1">IF(B98="","",step01标题尺码信息!$S$43)</f>
        <v/>
      </c>
      <c r="BB98" t="str">
        <f ca="1">IF(B98="","",step01标题尺码信息!$S$45)</f>
        <v/>
      </c>
      <c r="BC98" t="str">
        <f ca="1">IF(B98="","",step01标题尺码信息!$S$47)</f>
        <v/>
      </c>
      <c r="BD98" t="str">
        <f ca="1">IF(B98="","",step01标题尺码信息!$S$49)</f>
        <v/>
      </c>
      <c r="BE98" t="str">
        <f ca="1">IF(B98="","",step01标题尺码信息!$S$53)</f>
        <v/>
      </c>
      <c r="BH98" t="str">
        <f ca="1">IF(B98="","",IF(DX98="Parent","",VLOOKUP(B98,step01标题尺码信息!G:P,7,0)))</f>
        <v/>
      </c>
      <c r="BI98" t="str">
        <f ca="1">IF(B98="","",IF(DX98="Parent","",VLOOKUP(B98,step01标题尺码信息!G:P,8,0)))</f>
        <v/>
      </c>
      <c r="BK98" t="str">
        <f ca="1" t="shared" si="53"/>
        <v/>
      </c>
      <c r="BL98" t="str">
        <f ca="1" t="shared" si="54"/>
        <v/>
      </c>
      <c r="BO98" t="str">
        <f ca="1" t="shared" si="55"/>
        <v/>
      </c>
      <c r="BR98" t="str">
        <f ca="1">IF(B98="","",IF(AS98="Parent","",VLOOKUP(B98,step01标题尺码信息!G:P,9,0)))</f>
        <v/>
      </c>
      <c r="CY98" t="str">
        <f ca="1" t="shared" si="56"/>
        <v/>
      </c>
      <c r="DG98" t="str">
        <f ca="1">IF(B98="","",step01标题尺码信息!$T$30)</f>
        <v/>
      </c>
      <c r="DH98" t="str">
        <f ca="1" t="shared" si="57"/>
        <v/>
      </c>
      <c r="DN98" t="str">
        <f ca="1" t="shared" si="58"/>
        <v/>
      </c>
      <c r="DW98" t="str">
        <f ca="1" t="shared" si="59"/>
        <v/>
      </c>
      <c r="ER98" t="str">
        <f ca="1">IF(B98="","",step01标题尺码信息!$T$37)</f>
        <v/>
      </c>
      <c r="ES98" t="str">
        <f ca="1" t="shared" si="60"/>
        <v/>
      </c>
      <c r="HF98" t="str">
        <f ca="1">IF(B98="","",step01标题尺码信息!$S$2)</f>
        <v/>
      </c>
      <c r="HH98" t="str">
        <f ca="1" t="shared" si="61"/>
        <v/>
      </c>
      <c r="HI98" t="str">
        <f ca="1" t="shared" si="62"/>
        <v/>
      </c>
      <c r="HL98" t="str">
        <f ca="1" t="shared" si="63"/>
        <v/>
      </c>
      <c r="IA98" t="str">
        <f ca="1" t="shared" si="64"/>
        <v/>
      </c>
    </row>
    <row r="99" spans="1:235">
      <c r="A99" t="str">
        <f ca="1">IF(B99="","",step01标题尺码信息!$B$3)</f>
        <v/>
      </c>
      <c r="B99" t="str">
        <f ca="1">IF(step01标题尺码信息!G101="","",step01标题尺码信息!G101)</f>
        <v/>
      </c>
      <c r="C99" t="str">
        <f ca="1">IF(B99="","",step01标题尺码信息!$E$3)</f>
        <v/>
      </c>
      <c r="D99" t="str">
        <f ca="1" t="shared" si="46"/>
        <v/>
      </c>
      <c r="E99" t="str">
        <f ca="1">IF(B99="","",VLOOKUP(B99,step01标题尺码信息!G:P,4,0))</f>
        <v/>
      </c>
      <c r="H99" t="str">
        <f ca="1">IF(B99="","",step01标题尺码信息!$R$19)</f>
        <v/>
      </c>
      <c r="I99" t="str">
        <f ca="1" t="shared" si="47"/>
        <v/>
      </c>
      <c r="M99" t="str">
        <f ca="1" t="shared" si="48"/>
        <v/>
      </c>
      <c r="U99" t="str">
        <f ca="1">IF(B99="","",step01标题尺码信息!$S$1)</f>
        <v/>
      </c>
      <c r="V99" t="str">
        <f ca="1" t="shared" si="49"/>
        <v/>
      </c>
      <c r="W99" t="str">
        <f ca="1">IF(B99="","",step01标题尺码信息!$V$1)</f>
        <v/>
      </c>
      <c r="X99" t="str">
        <f ca="1">IF(B99="","",step01标题尺码信息!$V$2)</f>
        <v/>
      </c>
      <c r="Y99" t="str">
        <f ca="1" t="shared" si="50"/>
        <v/>
      </c>
      <c r="Z99" t="str">
        <f ca="1" t="shared" si="51"/>
        <v/>
      </c>
      <c r="AA99" t="str">
        <f ca="1">IF(B99="","",IF(CB99="Parent","",VLOOKUP(B99,step01标题尺码信息!G:P,9,0)))</f>
        <v/>
      </c>
      <c r="AG99" t="str">
        <f ca="1" t="shared" si="65"/>
        <v/>
      </c>
      <c r="AH99" t="str">
        <f ca="1" t="shared" si="66"/>
        <v/>
      </c>
      <c r="AI99" t="str">
        <f ca="1">IF(OR(B99="",VLOOKUP(BH99,step02图片链接!B:E,4,0)=""),"",VLOOKUP(BH99,step02图片链接!B:E,4,0))</f>
        <v/>
      </c>
      <c r="AJ99" t="str">
        <f ca="1">IF(OR(B99="",VLOOKUP(BH99,step02图片链接!B:G,6,0)=""),"",VLOOKUP(BH99,step02图片链接!B:G,6,0))</f>
        <v/>
      </c>
      <c r="AK99" t="str">
        <f ca="1">IF(OR(B99="",VLOOKUP(BH99,step02图片链接!B:H,7,0)=""),"",VLOOKUP(BH99,step02图片链接!B:H,7,0))</f>
        <v/>
      </c>
      <c r="AL99" t="str">
        <f ca="1">IF(OR(B99="",VLOOKUP(BH99,step02图片链接!B:I,8,0)=""),"",VLOOKUP(BH99,step02图片链接!B:I,8,0))</f>
        <v/>
      </c>
      <c r="AM99" t="str">
        <f ca="1">IF(OR(B99="",VLOOKUP(BH99,step02图片链接!B:J,9,0)=""),"",VLOOKUP(BH99,step02图片链接!B:J,9,0))</f>
        <v/>
      </c>
      <c r="AN99" t="str">
        <f ca="1">IF(OR(B99="",VLOOKUP(BH99,step02图片链接!B:K,10,0)=""),"",VLOOKUP(BH99,step02图片链接!B:K,10,0))</f>
        <v/>
      </c>
      <c r="AO99" t="str">
        <f ca="1">IF(OR(B99="",VLOOKUP(BH99,step02图片链接!B:L,11,0)=""),"",VLOOKUP(BH99,step02图片链接!B:L,11,0))</f>
        <v/>
      </c>
      <c r="AP99" t="str">
        <f ca="1">IF(OR(B99="",VLOOKUP(BH99,step02图片链接!B:M,12,0)=""),"",VLOOKUP(BH99,step02图片链接!B:M,12,0))</f>
        <v/>
      </c>
      <c r="AQ99" t="str">
        <f ca="1">IF(OR(B99="",VLOOKUP(BH99,step02图片链接!B:N,13,0)=""),"",VLOOKUP(BH99,step02图片链接!B:N,13,0))</f>
        <v/>
      </c>
      <c r="AS99" t="str">
        <f ca="1" t="shared" si="67"/>
        <v/>
      </c>
      <c r="AT99" t="str">
        <f ca="1" t="shared" si="68"/>
        <v/>
      </c>
      <c r="AU99" t="str">
        <f ca="1" t="shared" si="52"/>
        <v/>
      </c>
      <c r="AV99" t="str">
        <f ca="1">IF(B99="","",step01标题尺码信息!$T$36)</f>
        <v/>
      </c>
      <c r="AZ99" t="str">
        <f ca="1">IF(B99="","",step01标题尺码信息!$S$41)</f>
        <v/>
      </c>
      <c r="BA99" t="str">
        <f ca="1">IF(B99="","",step01标题尺码信息!$S$43)</f>
        <v/>
      </c>
      <c r="BB99" t="str">
        <f ca="1">IF(B99="","",step01标题尺码信息!$S$45)</f>
        <v/>
      </c>
      <c r="BC99" t="str">
        <f ca="1">IF(B99="","",step01标题尺码信息!$S$47)</f>
        <v/>
      </c>
      <c r="BD99" t="str">
        <f ca="1">IF(B99="","",step01标题尺码信息!$S$49)</f>
        <v/>
      </c>
      <c r="BE99" t="str">
        <f ca="1">IF(B99="","",step01标题尺码信息!$S$53)</f>
        <v/>
      </c>
      <c r="BH99" t="str">
        <f ca="1">IF(B99="","",IF(DX99="Parent","",VLOOKUP(B99,step01标题尺码信息!G:P,7,0)))</f>
        <v/>
      </c>
      <c r="BI99" t="str">
        <f ca="1">IF(B99="","",IF(DX99="Parent","",VLOOKUP(B99,step01标题尺码信息!G:P,8,0)))</f>
        <v/>
      </c>
      <c r="BK99" t="str">
        <f ca="1" t="shared" si="53"/>
        <v/>
      </c>
      <c r="BL99" t="str">
        <f ca="1" t="shared" si="54"/>
        <v/>
      </c>
      <c r="BO99" t="str">
        <f ca="1" t="shared" si="55"/>
        <v/>
      </c>
      <c r="BR99" t="str">
        <f ca="1">IF(B99="","",IF(AS99="Parent","",VLOOKUP(B99,step01标题尺码信息!G:P,9,0)))</f>
        <v/>
      </c>
      <c r="CY99" t="str">
        <f ca="1" t="shared" si="56"/>
        <v/>
      </c>
      <c r="DG99" t="str">
        <f ca="1">IF(B99="","",step01标题尺码信息!$T$30)</f>
        <v/>
      </c>
      <c r="DH99" t="str">
        <f ca="1" t="shared" si="57"/>
        <v/>
      </c>
      <c r="DN99" t="str">
        <f ca="1" t="shared" si="58"/>
        <v/>
      </c>
      <c r="DW99" t="str">
        <f ca="1" t="shared" si="59"/>
        <v/>
      </c>
      <c r="ER99" t="str">
        <f ca="1">IF(B99="","",step01标题尺码信息!$T$37)</f>
        <v/>
      </c>
      <c r="ES99" t="str">
        <f ca="1" t="shared" si="60"/>
        <v/>
      </c>
      <c r="HF99" t="str">
        <f ca="1">IF(B99="","",step01标题尺码信息!$S$2)</f>
        <v/>
      </c>
      <c r="HH99" t="str">
        <f ca="1" t="shared" si="61"/>
        <v/>
      </c>
      <c r="HI99" t="str">
        <f ca="1" t="shared" si="62"/>
        <v/>
      </c>
      <c r="HL99" t="str">
        <f ca="1" t="shared" si="63"/>
        <v/>
      </c>
      <c r="IA99" t="str">
        <f ca="1" t="shared" si="64"/>
        <v/>
      </c>
    </row>
    <row r="100" spans="1:235">
      <c r="A100" t="str">
        <f ca="1">IF(B100="","",step01标题尺码信息!$B$3)</f>
        <v/>
      </c>
      <c r="B100" t="str">
        <f ca="1">IF(step01标题尺码信息!G102="","",step01标题尺码信息!G102)</f>
        <v/>
      </c>
      <c r="C100" t="str">
        <f ca="1">IF(B100="","",step01标题尺码信息!$E$3)</f>
        <v/>
      </c>
      <c r="D100" t="str">
        <f ca="1" t="shared" si="46"/>
        <v/>
      </c>
      <c r="E100" t="str">
        <f ca="1">IF(B100="","",VLOOKUP(B100,step01标题尺码信息!G:P,4,0))</f>
        <v/>
      </c>
      <c r="H100" t="str">
        <f ca="1">IF(B100="","",step01标题尺码信息!$R$19)</f>
        <v/>
      </c>
      <c r="I100" t="str">
        <f ca="1" t="shared" si="47"/>
        <v/>
      </c>
      <c r="M100" t="str">
        <f ca="1" t="shared" si="48"/>
        <v/>
      </c>
      <c r="U100" t="str">
        <f ca="1">IF(B100="","",step01标题尺码信息!$S$1)</f>
        <v/>
      </c>
      <c r="V100" t="str">
        <f ca="1" t="shared" si="49"/>
        <v/>
      </c>
      <c r="W100" t="str">
        <f ca="1">IF(B100="","",step01标题尺码信息!$V$1)</f>
        <v/>
      </c>
      <c r="X100" t="str">
        <f ca="1">IF(B100="","",step01标题尺码信息!$V$2)</f>
        <v/>
      </c>
      <c r="Y100" t="str">
        <f ca="1" t="shared" si="50"/>
        <v/>
      </c>
      <c r="Z100" t="str">
        <f ca="1" t="shared" si="51"/>
        <v/>
      </c>
      <c r="AA100" t="str">
        <f ca="1">IF(B100="","",IF(CB100="Parent","",VLOOKUP(B100,step01标题尺码信息!G:P,9,0)))</f>
        <v/>
      </c>
      <c r="AG100" t="str">
        <f ca="1" t="shared" si="65"/>
        <v/>
      </c>
      <c r="AH100" t="str">
        <f ca="1" t="shared" si="66"/>
        <v/>
      </c>
      <c r="AI100" t="str">
        <f ca="1">IF(OR(B100="",VLOOKUP(BH100,step02图片链接!B:E,4,0)=""),"",VLOOKUP(BH100,step02图片链接!B:E,4,0))</f>
        <v/>
      </c>
      <c r="AJ100" t="str">
        <f ca="1">IF(OR(B100="",VLOOKUP(BH100,step02图片链接!B:G,6,0)=""),"",VLOOKUP(BH100,step02图片链接!B:G,6,0))</f>
        <v/>
      </c>
      <c r="AK100" t="str">
        <f ca="1">IF(OR(B100="",VLOOKUP(BH100,step02图片链接!B:H,7,0)=""),"",VLOOKUP(BH100,step02图片链接!B:H,7,0))</f>
        <v/>
      </c>
      <c r="AL100" t="str">
        <f ca="1">IF(OR(B100="",VLOOKUP(BH100,step02图片链接!B:I,8,0)=""),"",VLOOKUP(BH100,step02图片链接!B:I,8,0))</f>
        <v/>
      </c>
      <c r="AM100" t="str">
        <f ca="1">IF(OR(B100="",VLOOKUP(BH100,step02图片链接!B:J,9,0)=""),"",VLOOKUP(BH100,step02图片链接!B:J,9,0))</f>
        <v/>
      </c>
      <c r="AN100" t="str">
        <f ca="1">IF(OR(B100="",VLOOKUP(BH100,step02图片链接!B:K,10,0)=""),"",VLOOKUP(BH100,step02图片链接!B:K,10,0))</f>
        <v/>
      </c>
      <c r="AO100" t="str">
        <f ca="1">IF(OR(B100="",VLOOKUP(BH100,step02图片链接!B:L,11,0)=""),"",VLOOKUP(BH100,step02图片链接!B:L,11,0))</f>
        <v/>
      </c>
      <c r="AP100" t="str">
        <f ca="1">IF(OR(B100="",VLOOKUP(BH100,step02图片链接!B:M,12,0)=""),"",VLOOKUP(BH100,step02图片链接!B:M,12,0))</f>
        <v/>
      </c>
      <c r="AQ100" t="str">
        <f ca="1">IF(OR(B100="",VLOOKUP(BH100,step02图片链接!B:N,13,0)=""),"",VLOOKUP(BH100,step02图片链接!B:N,13,0))</f>
        <v/>
      </c>
      <c r="AS100" t="str">
        <f ca="1" t="shared" si="67"/>
        <v/>
      </c>
      <c r="AT100" t="str">
        <f ca="1" t="shared" si="68"/>
        <v/>
      </c>
      <c r="AU100" t="str">
        <f ca="1" t="shared" si="52"/>
        <v/>
      </c>
      <c r="AV100" t="str">
        <f ca="1">IF(B100="","",step01标题尺码信息!$T$36)</f>
        <v/>
      </c>
      <c r="AZ100" t="str">
        <f ca="1">IF(B100="","",step01标题尺码信息!$S$41)</f>
        <v/>
      </c>
      <c r="BA100" t="str">
        <f ca="1">IF(B100="","",step01标题尺码信息!$S$43)</f>
        <v/>
      </c>
      <c r="BB100" t="str">
        <f ca="1">IF(B100="","",step01标题尺码信息!$S$45)</f>
        <v/>
      </c>
      <c r="BC100" t="str">
        <f ca="1">IF(B100="","",step01标题尺码信息!$S$47)</f>
        <v/>
      </c>
      <c r="BD100" t="str">
        <f ca="1">IF(B100="","",step01标题尺码信息!$S$49)</f>
        <v/>
      </c>
      <c r="BE100" t="str">
        <f ca="1">IF(B100="","",step01标题尺码信息!$S$53)</f>
        <v/>
      </c>
      <c r="BH100" t="str">
        <f ca="1">IF(B100="","",IF(DX100="Parent","",VLOOKUP(B100,step01标题尺码信息!G:P,7,0)))</f>
        <v/>
      </c>
      <c r="BI100" t="str">
        <f ca="1">IF(B100="","",IF(DX100="Parent","",VLOOKUP(B100,step01标题尺码信息!G:P,8,0)))</f>
        <v/>
      </c>
      <c r="BK100" t="str">
        <f ca="1" t="shared" si="53"/>
        <v/>
      </c>
      <c r="BL100" t="str">
        <f ca="1" t="shared" si="54"/>
        <v/>
      </c>
      <c r="BO100" t="str">
        <f ca="1" t="shared" si="55"/>
        <v/>
      </c>
      <c r="BR100" t="str">
        <f ca="1">IF(B100="","",IF(AS100="Parent","",VLOOKUP(B100,step01标题尺码信息!G:P,9,0)))</f>
        <v/>
      </c>
      <c r="CY100" t="str">
        <f ca="1" t="shared" si="56"/>
        <v/>
      </c>
      <c r="DG100" t="str">
        <f ca="1">IF(B100="","",step01标题尺码信息!$T$30)</f>
        <v/>
      </c>
      <c r="DH100" t="str">
        <f ca="1" t="shared" si="57"/>
        <v/>
      </c>
      <c r="DN100" t="str">
        <f ca="1" t="shared" si="58"/>
        <v/>
      </c>
      <c r="DW100" t="str">
        <f ca="1" t="shared" si="59"/>
        <v/>
      </c>
      <c r="ER100" t="str">
        <f ca="1">IF(B100="","",step01标题尺码信息!$T$37)</f>
        <v/>
      </c>
      <c r="ES100" t="str">
        <f ca="1" t="shared" si="60"/>
        <v/>
      </c>
      <c r="HF100" t="str">
        <f ca="1">IF(B100="","",step01标题尺码信息!$S$2)</f>
        <v/>
      </c>
      <c r="HH100" t="str">
        <f ca="1" t="shared" si="61"/>
        <v/>
      </c>
      <c r="HI100" t="str">
        <f ca="1" t="shared" si="62"/>
        <v/>
      </c>
      <c r="HL100" t="str">
        <f ca="1" t="shared" si="63"/>
        <v/>
      </c>
      <c r="IA100" t="str">
        <f ca="1" t="shared" si="64"/>
        <v/>
      </c>
    </row>
    <row r="101" spans="1:235">
      <c r="A101" t="str">
        <f ca="1">IF(B101="","",step01标题尺码信息!$B$3)</f>
        <v/>
      </c>
      <c r="B101" t="str">
        <f ca="1">IF(step01标题尺码信息!G103="","",step01标题尺码信息!G103)</f>
        <v/>
      </c>
      <c r="C101" t="str">
        <f ca="1">IF(B101="","",step01标题尺码信息!$E$3)</f>
        <v/>
      </c>
      <c r="D101" t="str">
        <f ca="1" t="shared" ref="D101:D132" si="69">IF(B101="","","Update")</f>
        <v/>
      </c>
      <c r="E101" t="str">
        <f ca="1">IF(B101="","",VLOOKUP(B101,step01标题尺码信息!G:P,4,0))</f>
        <v/>
      </c>
      <c r="H101" t="str">
        <f ca="1">IF(B101="","",step01标题尺码信息!$R$19)</f>
        <v/>
      </c>
      <c r="I101" t="str">
        <f ca="1" t="shared" ref="I101:I132" si="70">IF(B101="","","novelty-t-shirts")</f>
        <v/>
      </c>
      <c r="M101" t="str">
        <f ca="1" t="shared" ref="M101:M132" si="71">IF(B101="","","Synthetic")</f>
        <v/>
      </c>
      <c r="U101" t="str">
        <f ca="1">IF(B101="","",step01标题尺码信息!$S$1)</f>
        <v/>
      </c>
      <c r="V101" t="str">
        <f ca="1" t="shared" ref="V101:V132" si="72">IF(B101="","",1000)</f>
        <v/>
      </c>
      <c r="W101" t="str">
        <f ca="1">IF(B101="","",step01标题尺码信息!$V$1)</f>
        <v/>
      </c>
      <c r="X101" t="str">
        <f ca="1">IF(B101="","",step01标题尺码信息!$V$2)</f>
        <v/>
      </c>
      <c r="Y101" t="str">
        <f ca="1" t="shared" ref="Y101:Y132" si="73">IF(B101="","","US")</f>
        <v/>
      </c>
      <c r="Z101" t="str">
        <f ca="1" t="shared" ref="Z101:Z132" si="74">IF(B101="","","Alpha")</f>
        <v/>
      </c>
      <c r="AA101" t="str">
        <f ca="1">IF(B101="","",IF(CB101="Parent","",VLOOKUP(B101,step01标题尺码信息!G:P,9,0)))</f>
        <v/>
      </c>
      <c r="AG101" t="str">
        <f ca="1" t="shared" si="65"/>
        <v/>
      </c>
      <c r="AH101" t="str">
        <f ca="1" t="shared" si="66"/>
        <v/>
      </c>
      <c r="AI101" t="str">
        <f ca="1">IF(OR(B101="",VLOOKUP(BH101,step02图片链接!B:E,4,0)=""),"",VLOOKUP(BH101,step02图片链接!B:E,4,0))</f>
        <v/>
      </c>
      <c r="AJ101" t="str">
        <f ca="1">IF(OR(B101="",VLOOKUP(BH101,step02图片链接!B:G,6,0)=""),"",VLOOKUP(BH101,step02图片链接!B:G,6,0))</f>
        <v/>
      </c>
      <c r="AK101" t="str">
        <f ca="1">IF(OR(B101="",VLOOKUP(BH101,step02图片链接!B:H,7,0)=""),"",VLOOKUP(BH101,step02图片链接!B:H,7,0))</f>
        <v/>
      </c>
      <c r="AL101" t="str">
        <f ca="1">IF(OR(B101="",VLOOKUP(BH101,step02图片链接!B:I,8,0)=""),"",VLOOKUP(BH101,step02图片链接!B:I,8,0))</f>
        <v/>
      </c>
      <c r="AM101" t="str">
        <f ca="1">IF(OR(B101="",VLOOKUP(BH101,step02图片链接!B:J,9,0)=""),"",VLOOKUP(BH101,step02图片链接!B:J,9,0))</f>
        <v/>
      </c>
      <c r="AN101" t="str">
        <f ca="1">IF(OR(B101="",VLOOKUP(BH101,step02图片链接!B:K,10,0)=""),"",VLOOKUP(BH101,step02图片链接!B:K,10,0))</f>
        <v/>
      </c>
      <c r="AO101" t="str">
        <f ca="1">IF(OR(B101="",VLOOKUP(BH101,step02图片链接!B:L,11,0)=""),"",VLOOKUP(BH101,step02图片链接!B:L,11,0))</f>
        <v/>
      </c>
      <c r="AP101" t="str">
        <f ca="1">IF(OR(B101="",VLOOKUP(BH101,step02图片链接!B:M,12,0)=""),"",VLOOKUP(BH101,step02图片链接!B:M,12,0))</f>
        <v/>
      </c>
      <c r="AQ101" t="str">
        <f ca="1">IF(OR(B101="",VLOOKUP(BH101,step02图片链接!B:N,13,0)=""),"",VLOOKUP(BH101,step02图片链接!B:N,13,0))</f>
        <v/>
      </c>
      <c r="AS101" t="str">
        <f ca="1" t="shared" si="67"/>
        <v/>
      </c>
      <c r="AT101" t="str">
        <f ca="1" t="shared" si="68"/>
        <v/>
      </c>
      <c r="AU101" t="str">
        <f ca="1" t="shared" ref="AU101:AU132" si="75">IF(AT101="","","Variation")</f>
        <v/>
      </c>
      <c r="AV101" t="str">
        <f ca="1">IF(B101="","",step01标题尺码信息!$T$36)</f>
        <v/>
      </c>
      <c r="AZ101" t="str">
        <f ca="1">IF(B101="","",step01标题尺码信息!$S$41)</f>
        <v/>
      </c>
      <c r="BA101" t="str">
        <f ca="1">IF(B101="","",step01标题尺码信息!$S$43)</f>
        <v/>
      </c>
      <c r="BB101" t="str">
        <f ca="1">IF(B101="","",step01标题尺码信息!$S$45)</f>
        <v/>
      </c>
      <c r="BC101" t="str">
        <f ca="1">IF(B101="","",step01标题尺码信息!$S$47)</f>
        <v/>
      </c>
      <c r="BD101" t="str">
        <f ca="1">IF(B101="","",step01标题尺码信息!$S$49)</f>
        <v/>
      </c>
      <c r="BE101" t="str">
        <f ca="1">IF(B101="","",step01标题尺码信息!$S$53)</f>
        <v/>
      </c>
      <c r="BH101" t="str">
        <f ca="1">IF(B101="","",IF(DX101="Parent","",VLOOKUP(B101,step01标题尺码信息!G:P,7,0)))</f>
        <v/>
      </c>
      <c r="BI101" t="str">
        <f ca="1">IF(B101="","",IF(DX101="Parent","",VLOOKUP(B101,step01标题尺码信息!G:P,8,0)))</f>
        <v/>
      </c>
      <c r="BK101" t="str">
        <f ca="1" t="shared" ref="BK101:BK132" si="76">IF(B101="","","Unisex Adult")</f>
        <v/>
      </c>
      <c r="BL101" t="str">
        <f ca="1" t="shared" ref="BL101:BL132" si="77">IF(B101="","","Regular")</f>
        <v/>
      </c>
      <c r="BO101" t="str">
        <f ca="1" t="shared" ref="BO101:BO132" si="78">IF(B101="","","Crewneck")</f>
        <v/>
      </c>
      <c r="BR101" t="str">
        <f ca="1">IF(B101="","",IF(AS101="Parent","",VLOOKUP(B101,step01标题尺码信息!G:P,9,0)))</f>
        <v/>
      </c>
      <c r="CY101" t="str">
        <f ca="1" t="shared" ref="CY101:CY132" si="79">IF(B101="","","Short Sleeve")</f>
        <v/>
      </c>
      <c r="DG101" t="str">
        <f ca="1">IF(B101="","",step01标题尺码信息!$T$30)</f>
        <v/>
      </c>
      <c r="DH101" t="str">
        <f ca="1" t="shared" ref="DH101:DH132" si="80">IF(B101="","","KG")</f>
        <v/>
      </c>
      <c r="DN101" t="str">
        <f ca="1" t="shared" ref="DN101:DN132" si="81">BR101</f>
        <v/>
      </c>
      <c r="DW101" t="str">
        <f ca="1" t="shared" ref="DW101:DW132" si="82">IF(B101="","","DEFAULT")</f>
        <v/>
      </c>
      <c r="ER101" t="str">
        <f ca="1">IF(B101="","",step01标题尺码信息!$T$37)</f>
        <v/>
      </c>
      <c r="ES101" t="str">
        <f ca="1" t="shared" ref="ES101:ES132" si="83">IF(B101="","","Imported")</f>
        <v/>
      </c>
      <c r="HF101" t="str">
        <f ca="1">IF(B101="","",step01标题尺码信息!$S$2)</f>
        <v/>
      </c>
      <c r="HH101" t="str">
        <f ca="1" t="shared" ref="HH101:HH132" si="84">IF(B101="","","USD")</f>
        <v/>
      </c>
      <c r="HI101" t="str">
        <f ca="1" t="shared" ref="HI101:HI132" si="85">IF(B101="","","NEW")</f>
        <v/>
      </c>
      <c r="HL101" t="str">
        <f ca="1" t="shared" ref="HL101:HL132" si="86">IF(B101="","","10")</f>
        <v/>
      </c>
      <c r="IA101" t="str">
        <f ca="1" t="shared" ref="IA101:IA132" si="87">IF(B101="","","Migrated Template")</f>
        <v/>
      </c>
    </row>
    <row r="102" spans="1:235">
      <c r="A102" t="str">
        <f ca="1">IF(B102="","",step01标题尺码信息!$B$3)</f>
        <v/>
      </c>
      <c r="B102" t="str">
        <f ca="1">IF(step01标题尺码信息!G104="","",step01标题尺码信息!G104)</f>
        <v/>
      </c>
      <c r="C102" t="str">
        <f ca="1">IF(B102="","",step01标题尺码信息!$E$3)</f>
        <v/>
      </c>
      <c r="D102" t="str">
        <f ca="1" t="shared" si="69"/>
        <v/>
      </c>
      <c r="E102" t="str">
        <f ca="1">IF(B102="","",VLOOKUP(B102,step01标题尺码信息!G:P,4,0))</f>
        <v/>
      </c>
      <c r="H102" t="str">
        <f ca="1">IF(B102="","",step01标题尺码信息!$R$19)</f>
        <v/>
      </c>
      <c r="I102" t="str">
        <f ca="1" t="shared" si="70"/>
        <v/>
      </c>
      <c r="M102" t="str">
        <f ca="1" t="shared" si="71"/>
        <v/>
      </c>
      <c r="U102" t="str">
        <f ca="1">IF(B102="","",step01标题尺码信息!$S$1)</f>
        <v/>
      </c>
      <c r="V102" t="str">
        <f ca="1" t="shared" si="72"/>
        <v/>
      </c>
      <c r="W102" t="str">
        <f ca="1">IF(B102="","",step01标题尺码信息!$V$1)</f>
        <v/>
      </c>
      <c r="X102" t="str">
        <f ca="1">IF(B102="","",step01标题尺码信息!$V$2)</f>
        <v/>
      </c>
      <c r="Y102" t="str">
        <f ca="1" t="shared" si="73"/>
        <v/>
      </c>
      <c r="Z102" t="str">
        <f ca="1" t="shared" si="74"/>
        <v/>
      </c>
      <c r="AA102" t="str">
        <f ca="1">IF(B102="","",IF(CB102="Parent","",VLOOKUP(B102,step01标题尺码信息!G:P,9,0)))</f>
        <v/>
      </c>
      <c r="AG102" t="str">
        <f ca="1" t="shared" ref="AG102:AG133" si="88">IF(B102="","","Regular")</f>
        <v/>
      </c>
      <c r="AH102" t="str">
        <f ca="1" t="shared" ref="AH102:AH133" si="89">IF(B102="","","Regular")</f>
        <v/>
      </c>
      <c r="AI102" t="str">
        <f ca="1">IF(OR(B102="",VLOOKUP(BH102,step02图片链接!B:E,4,0)=""),"",VLOOKUP(BH102,step02图片链接!B:E,4,0))</f>
        <v/>
      </c>
      <c r="AJ102" t="str">
        <f ca="1">IF(OR(B102="",VLOOKUP(BH102,step02图片链接!B:G,6,0)=""),"",VLOOKUP(BH102,step02图片链接!B:G,6,0))</f>
        <v/>
      </c>
      <c r="AK102" t="str">
        <f ca="1">IF(OR(B102="",VLOOKUP(BH102,step02图片链接!B:H,7,0)=""),"",VLOOKUP(BH102,step02图片链接!B:H,7,0))</f>
        <v/>
      </c>
      <c r="AL102" t="str">
        <f ca="1">IF(OR(B102="",VLOOKUP(BH102,step02图片链接!B:I,8,0)=""),"",VLOOKUP(BH102,step02图片链接!B:I,8,0))</f>
        <v/>
      </c>
      <c r="AM102" t="str">
        <f ca="1">IF(OR(B102="",VLOOKUP(BH102,step02图片链接!B:J,9,0)=""),"",VLOOKUP(BH102,step02图片链接!B:J,9,0))</f>
        <v/>
      </c>
      <c r="AN102" t="str">
        <f ca="1">IF(OR(B102="",VLOOKUP(BH102,step02图片链接!B:K,10,0)=""),"",VLOOKUP(BH102,step02图片链接!B:K,10,0))</f>
        <v/>
      </c>
      <c r="AO102" t="str">
        <f ca="1">IF(OR(B102="",VLOOKUP(BH102,step02图片链接!B:L,11,0)=""),"",VLOOKUP(BH102,step02图片链接!B:L,11,0))</f>
        <v/>
      </c>
      <c r="AP102" t="str">
        <f ca="1">IF(OR(B102="",VLOOKUP(BH102,step02图片链接!B:M,12,0)=""),"",VLOOKUP(BH102,step02图片链接!B:M,12,0))</f>
        <v/>
      </c>
      <c r="AQ102" t="str">
        <f ca="1">IF(OR(B102="",VLOOKUP(BH102,step02图片链接!B:N,13,0)=""),"",VLOOKUP(BH102,step02图片链接!B:N,13,0))</f>
        <v/>
      </c>
      <c r="AS102" t="str">
        <f ca="1" t="shared" ref="AS102:AS133" si="90">IF(AT102="","","Child")</f>
        <v/>
      </c>
      <c r="AT102" t="str">
        <f ca="1" t="shared" ref="AT102:AT133" si="91">IF(B102="","",$B$4)</f>
        <v/>
      </c>
      <c r="AU102" t="str">
        <f ca="1" t="shared" si="75"/>
        <v/>
      </c>
      <c r="AV102" t="str">
        <f ca="1">IF(B102="","",step01标题尺码信息!$T$36)</f>
        <v/>
      </c>
      <c r="AZ102" t="str">
        <f ca="1">IF(B102="","",step01标题尺码信息!$S$41)</f>
        <v/>
      </c>
      <c r="BA102" t="str">
        <f ca="1">IF(B102="","",step01标题尺码信息!$S$43)</f>
        <v/>
      </c>
      <c r="BB102" t="str">
        <f ca="1">IF(B102="","",step01标题尺码信息!$S$45)</f>
        <v/>
      </c>
      <c r="BC102" t="str">
        <f ca="1">IF(B102="","",step01标题尺码信息!$S$47)</f>
        <v/>
      </c>
      <c r="BD102" t="str">
        <f ca="1">IF(B102="","",step01标题尺码信息!$S$49)</f>
        <v/>
      </c>
      <c r="BE102" t="str">
        <f ca="1">IF(B102="","",step01标题尺码信息!$S$53)</f>
        <v/>
      </c>
      <c r="BH102" t="str">
        <f ca="1">IF(B102="","",IF(DX102="Parent","",VLOOKUP(B102,step01标题尺码信息!G:P,7,0)))</f>
        <v/>
      </c>
      <c r="BI102" t="str">
        <f ca="1">IF(B102="","",IF(DX102="Parent","",VLOOKUP(B102,step01标题尺码信息!G:P,8,0)))</f>
        <v/>
      </c>
      <c r="BK102" t="str">
        <f ca="1" t="shared" si="76"/>
        <v/>
      </c>
      <c r="BL102" t="str">
        <f ca="1" t="shared" si="77"/>
        <v/>
      </c>
      <c r="BO102" t="str">
        <f ca="1" t="shared" si="78"/>
        <v/>
      </c>
      <c r="BR102" t="str">
        <f ca="1">IF(B102="","",IF(AS102="Parent","",VLOOKUP(B102,step01标题尺码信息!G:P,9,0)))</f>
        <v/>
      </c>
      <c r="CY102" t="str">
        <f ca="1" t="shared" si="79"/>
        <v/>
      </c>
      <c r="DG102" t="str">
        <f ca="1">IF(B102="","",step01标题尺码信息!$T$30)</f>
        <v/>
      </c>
      <c r="DH102" t="str">
        <f ca="1" t="shared" si="80"/>
        <v/>
      </c>
      <c r="DN102" t="str">
        <f ca="1" t="shared" si="81"/>
        <v/>
      </c>
      <c r="DW102" t="str">
        <f ca="1" t="shared" si="82"/>
        <v/>
      </c>
      <c r="ER102" t="str">
        <f ca="1">IF(B102="","",step01标题尺码信息!$T$37)</f>
        <v/>
      </c>
      <c r="ES102" t="str">
        <f ca="1" t="shared" si="83"/>
        <v/>
      </c>
      <c r="HF102" t="str">
        <f ca="1">IF(B102="","",step01标题尺码信息!$S$2)</f>
        <v/>
      </c>
      <c r="HH102" t="str">
        <f ca="1" t="shared" si="84"/>
        <v/>
      </c>
      <c r="HI102" t="str">
        <f ca="1" t="shared" si="85"/>
        <v/>
      </c>
      <c r="HL102" t="str">
        <f ca="1" t="shared" si="86"/>
        <v/>
      </c>
      <c r="IA102" t="str">
        <f ca="1" t="shared" si="87"/>
        <v/>
      </c>
    </row>
    <row r="103" spans="1:235">
      <c r="A103" t="str">
        <f ca="1">IF(B103="","",step01标题尺码信息!$B$3)</f>
        <v/>
      </c>
      <c r="B103" t="str">
        <f ca="1">IF(step01标题尺码信息!G105="","",step01标题尺码信息!G105)</f>
        <v/>
      </c>
      <c r="C103" t="str">
        <f ca="1">IF(B103="","",step01标题尺码信息!$E$3)</f>
        <v/>
      </c>
      <c r="D103" t="str">
        <f ca="1" t="shared" si="69"/>
        <v/>
      </c>
      <c r="E103" t="str">
        <f ca="1">IF(B103="","",VLOOKUP(B103,step01标题尺码信息!G:P,4,0))</f>
        <v/>
      </c>
      <c r="H103" t="str">
        <f ca="1">IF(B103="","",step01标题尺码信息!$R$19)</f>
        <v/>
      </c>
      <c r="I103" t="str">
        <f ca="1" t="shared" si="70"/>
        <v/>
      </c>
      <c r="M103" t="str">
        <f ca="1" t="shared" si="71"/>
        <v/>
      </c>
      <c r="U103" t="str">
        <f ca="1">IF(B103="","",step01标题尺码信息!$S$1)</f>
        <v/>
      </c>
      <c r="V103" t="str">
        <f ca="1" t="shared" si="72"/>
        <v/>
      </c>
      <c r="W103" t="str">
        <f ca="1">IF(B103="","",step01标题尺码信息!$V$1)</f>
        <v/>
      </c>
      <c r="X103" t="str">
        <f ca="1">IF(B103="","",step01标题尺码信息!$V$2)</f>
        <v/>
      </c>
      <c r="Y103" t="str">
        <f ca="1" t="shared" si="73"/>
        <v/>
      </c>
      <c r="Z103" t="str">
        <f ca="1" t="shared" si="74"/>
        <v/>
      </c>
      <c r="AA103" t="str">
        <f ca="1">IF(B103="","",IF(CB103="Parent","",VLOOKUP(B103,step01标题尺码信息!G:P,9,0)))</f>
        <v/>
      </c>
      <c r="AG103" t="str">
        <f ca="1" t="shared" si="88"/>
        <v/>
      </c>
      <c r="AH103" t="str">
        <f ca="1" t="shared" si="89"/>
        <v/>
      </c>
      <c r="AI103" t="str">
        <f ca="1">IF(OR(B103="",VLOOKUP(BH103,step02图片链接!B:E,4,0)=""),"",VLOOKUP(BH103,step02图片链接!B:E,4,0))</f>
        <v/>
      </c>
      <c r="AJ103" t="str">
        <f ca="1">IF(OR(B103="",VLOOKUP(BH103,step02图片链接!B:G,6,0)=""),"",VLOOKUP(BH103,step02图片链接!B:G,6,0))</f>
        <v/>
      </c>
      <c r="AK103" t="str">
        <f ca="1">IF(OR(B103="",VLOOKUP(BH103,step02图片链接!B:H,7,0)=""),"",VLOOKUP(BH103,step02图片链接!B:H,7,0))</f>
        <v/>
      </c>
      <c r="AL103" t="str">
        <f ca="1">IF(OR(B103="",VLOOKUP(BH103,step02图片链接!B:I,8,0)=""),"",VLOOKUP(BH103,step02图片链接!B:I,8,0))</f>
        <v/>
      </c>
      <c r="AM103" t="str">
        <f ca="1">IF(OR(B103="",VLOOKUP(BH103,step02图片链接!B:J,9,0)=""),"",VLOOKUP(BH103,step02图片链接!B:J,9,0))</f>
        <v/>
      </c>
      <c r="AN103" t="str">
        <f ca="1">IF(OR(B103="",VLOOKUP(BH103,step02图片链接!B:K,10,0)=""),"",VLOOKUP(BH103,step02图片链接!B:K,10,0))</f>
        <v/>
      </c>
      <c r="AO103" t="str">
        <f ca="1">IF(OR(B103="",VLOOKUP(BH103,step02图片链接!B:L,11,0)=""),"",VLOOKUP(BH103,step02图片链接!B:L,11,0))</f>
        <v/>
      </c>
      <c r="AP103" t="str">
        <f ca="1">IF(OR(B103="",VLOOKUP(BH103,step02图片链接!B:M,12,0)=""),"",VLOOKUP(BH103,step02图片链接!B:M,12,0))</f>
        <v/>
      </c>
      <c r="AQ103" t="str">
        <f ca="1">IF(OR(B103="",VLOOKUP(BH103,step02图片链接!B:N,13,0)=""),"",VLOOKUP(BH103,step02图片链接!B:N,13,0))</f>
        <v/>
      </c>
      <c r="AS103" t="str">
        <f ca="1" t="shared" si="90"/>
        <v/>
      </c>
      <c r="AT103" t="str">
        <f ca="1" t="shared" si="91"/>
        <v/>
      </c>
      <c r="AU103" t="str">
        <f ca="1" t="shared" si="75"/>
        <v/>
      </c>
      <c r="AV103" t="str">
        <f ca="1">IF(B103="","",step01标题尺码信息!$T$36)</f>
        <v/>
      </c>
      <c r="AZ103" t="str">
        <f ca="1">IF(B103="","",step01标题尺码信息!$S$41)</f>
        <v/>
      </c>
      <c r="BA103" t="str">
        <f ca="1">IF(B103="","",step01标题尺码信息!$S$43)</f>
        <v/>
      </c>
      <c r="BB103" t="str">
        <f ca="1">IF(B103="","",step01标题尺码信息!$S$45)</f>
        <v/>
      </c>
      <c r="BC103" t="str">
        <f ca="1">IF(B103="","",step01标题尺码信息!$S$47)</f>
        <v/>
      </c>
      <c r="BD103" t="str">
        <f ca="1">IF(B103="","",step01标题尺码信息!$S$49)</f>
        <v/>
      </c>
      <c r="BE103" t="str">
        <f ca="1">IF(B103="","",step01标题尺码信息!$S$53)</f>
        <v/>
      </c>
      <c r="BH103" t="str">
        <f ca="1">IF(B103="","",IF(DX103="Parent","",VLOOKUP(B103,step01标题尺码信息!G:P,7,0)))</f>
        <v/>
      </c>
      <c r="BI103" t="str">
        <f ca="1">IF(B103="","",IF(DX103="Parent","",VLOOKUP(B103,step01标题尺码信息!G:P,8,0)))</f>
        <v/>
      </c>
      <c r="BK103" t="str">
        <f ca="1" t="shared" si="76"/>
        <v/>
      </c>
      <c r="BL103" t="str">
        <f ca="1" t="shared" si="77"/>
        <v/>
      </c>
      <c r="BO103" t="str">
        <f ca="1" t="shared" si="78"/>
        <v/>
      </c>
      <c r="BR103" t="str">
        <f ca="1">IF(B103="","",IF(AS103="Parent","",VLOOKUP(B103,step01标题尺码信息!G:P,9,0)))</f>
        <v/>
      </c>
      <c r="CY103" t="str">
        <f ca="1" t="shared" si="79"/>
        <v/>
      </c>
      <c r="DG103" t="str">
        <f ca="1">IF(B103="","",step01标题尺码信息!$T$30)</f>
        <v/>
      </c>
      <c r="DH103" t="str">
        <f ca="1" t="shared" si="80"/>
        <v/>
      </c>
      <c r="DN103" t="str">
        <f ca="1" t="shared" si="81"/>
        <v/>
      </c>
      <c r="DW103" t="str">
        <f ca="1" t="shared" si="82"/>
        <v/>
      </c>
      <c r="ER103" t="str">
        <f ca="1">IF(B103="","",step01标题尺码信息!$T$37)</f>
        <v/>
      </c>
      <c r="ES103" t="str">
        <f ca="1" t="shared" si="83"/>
        <v/>
      </c>
      <c r="HF103" t="str">
        <f ca="1">IF(B103="","",step01标题尺码信息!$S$2)</f>
        <v/>
      </c>
      <c r="HH103" t="str">
        <f ca="1" t="shared" si="84"/>
        <v/>
      </c>
      <c r="HI103" t="str">
        <f ca="1" t="shared" si="85"/>
        <v/>
      </c>
      <c r="HL103" t="str">
        <f ca="1" t="shared" si="86"/>
        <v/>
      </c>
      <c r="IA103" t="str">
        <f ca="1" t="shared" si="87"/>
        <v/>
      </c>
    </row>
    <row r="104" spans="1:235">
      <c r="A104" t="str">
        <f ca="1">IF(B104="","",step01标题尺码信息!$B$3)</f>
        <v/>
      </c>
      <c r="B104" t="str">
        <f ca="1">IF(step01标题尺码信息!G106="","",step01标题尺码信息!G106)</f>
        <v/>
      </c>
      <c r="C104" t="str">
        <f ca="1">IF(B104="","",step01标题尺码信息!$E$3)</f>
        <v/>
      </c>
      <c r="D104" t="str">
        <f ca="1" t="shared" si="69"/>
        <v/>
      </c>
      <c r="E104" t="str">
        <f ca="1">IF(B104="","",VLOOKUP(B104,step01标题尺码信息!G:P,4,0))</f>
        <v/>
      </c>
      <c r="H104" t="str">
        <f ca="1">IF(B104="","",step01标题尺码信息!$R$19)</f>
        <v/>
      </c>
      <c r="I104" t="str">
        <f ca="1" t="shared" si="70"/>
        <v/>
      </c>
      <c r="M104" t="str">
        <f ca="1" t="shared" si="71"/>
        <v/>
      </c>
      <c r="U104" t="str">
        <f ca="1">IF(B104="","",step01标题尺码信息!$S$1)</f>
        <v/>
      </c>
      <c r="V104" t="str">
        <f ca="1" t="shared" si="72"/>
        <v/>
      </c>
      <c r="W104" t="str">
        <f ca="1">IF(B104="","",step01标题尺码信息!$V$1)</f>
        <v/>
      </c>
      <c r="X104" t="str">
        <f ca="1">IF(B104="","",step01标题尺码信息!$V$2)</f>
        <v/>
      </c>
      <c r="Y104" t="str">
        <f ca="1" t="shared" si="73"/>
        <v/>
      </c>
      <c r="Z104" t="str">
        <f ca="1" t="shared" si="74"/>
        <v/>
      </c>
      <c r="AA104" t="str">
        <f ca="1">IF(B104="","",IF(CB104="Parent","",VLOOKUP(B104,step01标题尺码信息!G:P,9,0)))</f>
        <v/>
      </c>
      <c r="AG104" t="str">
        <f ca="1" t="shared" si="88"/>
        <v/>
      </c>
      <c r="AH104" t="str">
        <f ca="1" t="shared" si="89"/>
        <v/>
      </c>
      <c r="AI104" t="str">
        <f ca="1">IF(OR(B104="",VLOOKUP(BH104,step02图片链接!B:E,4,0)=""),"",VLOOKUP(BH104,step02图片链接!B:E,4,0))</f>
        <v/>
      </c>
      <c r="AJ104" t="str">
        <f ca="1">IF(OR(B104="",VLOOKUP(BH104,step02图片链接!B:G,6,0)=""),"",VLOOKUP(BH104,step02图片链接!B:G,6,0))</f>
        <v/>
      </c>
      <c r="AK104" t="str">
        <f ca="1">IF(OR(B104="",VLOOKUP(BH104,step02图片链接!B:H,7,0)=""),"",VLOOKUP(BH104,step02图片链接!B:H,7,0))</f>
        <v/>
      </c>
      <c r="AL104" t="str">
        <f ca="1">IF(OR(B104="",VLOOKUP(BH104,step02图片链接!B:I,8,0)=""),"",VLOOKUP(BH104,step02图片链接!B:I,8,0))</f>
        <v/>
      </c>
      <c r="AM104" t="str">
        <f ca="1">IF(OR(B104="",VLOOKUP(BH104,step02图片链接!B:J,9,0)=""),"",VLOOKUP(BH104,step02图片链接!B:J,9,0))</f>
        <v/>
      </c>
      <c r="AN104" t="str">
        <f ca="1">IF(OR(B104="",VLOOKUP(BH104,step02图片链接!B:K,10,0)=""),"",VLOOKUP(BH104,step02图片链接!B:K,10,0))</f>
        <v/>
      </c>
      <c r="AO104" t="str">
        <f ca="1">IF(OR(B104="",VLOOKUP(BH104,step02图片链接!B:L,11,0)=""),"",VLOOKUP(BH104,step02图片链接!B:L,11,0))</f>
        <v/>
      </c>
      <c r="AP104" t="str">
        <f ca="1">IF(OR(B104="",VLOOKUP(BH104,step02图片链接!B:M,12,0)=""),"",VLOOKUP(BH104,step02图片链接!B:M,12,0))</f>
        <v/>
      </c>
      <c r="AQ104" t="str">
        <f ca="1">IF(OR(B104="",VLOOKUP(BH104,step02图片链接!B:N,13,0)=""),"",VLOOKUP(BH104,step02图片链接!B:N,13,0))</f>
        <v/>
      </c>
      <c r="AS104" t="str">
        <f ca="1" t="shared" si="90"/>
        <v/>
      </c>
      <c r="AT104" t="str">
        <f ca="1" t="shared" si="91"/>
        <v/>
      </c>
      <c r="AU104" t="str">
        <f ca="1" t="shared" si="75"/>
        <v/>
      </c>
      <c r="AV104" t="str">
        <f ca="1">IF(B104="","",step01标题尺码信息!$T$36)</f>
        <v/>
      </c>
      <c r="AZ104" t="str">
        <f ca="1">IF(B104="","",step01标题尺码信息!$S$41)</f>
        <v/>
      </c>
      <c r="BA104" t="str">
        <f ca="1">IF(B104="","",step01标题尺码信息!$S$43)</f>
        <v/>
      </c>
      <c r="BB104" t="str">
        <f ca="1">IF(B104="","",step01标题尺码信息!$S$45)</f>
        <v/>
      </c>
      <c r="BC104" t="str">
        <f ca="1">IF(B104="","",step01标题尺码信息!$S$47)</f>
        <v/>
      </c>
      <c r="BD104" t="str">
        <f ca="1">IF(B104="","",step01标题尺码信息!$S$49)</f>
        <v/>
      </c>
      <c r="BE104" t="str">
        <f ca="1">IF(B104="","",step01标题尺码信息!$S$53)</f>
        <v/>
      </c>
      <c r="BH104" t="str">
        <f ca="1">IF(B104="","",IF(DX104="Parent","",VLOOKUP(B104,step01标题尺码信息!G:P,7,0)))</f>
        <v/>
      </c>
      <c r="BI104" t="str">
        <f ca="1">IF(B104="","",IF(DX104="Parent","",VLOOKUP(B104,step01标题尺码信息!G:P,8,0)))</f>
        <v/>
      </c>
      <c r="BK104" t="str">
        <f ca="1" t="shared" si="76"/>
        <v/>
      </c>
      <c r="BL104" t="str">
        <f ca="1" t="shared" si="77"/>
        <v/>
      </c>
      <c r="BO104" t="str">
        <f ca="1" t="shared" si="78"/>
        <v/>
      </c>
      <c r="BR104" t="str">
        <f ca="1">IF(B104="","",IF(AS104="Parent","",VLOOKUP(B104,step01标题尺码信息!G:P,9,0)))</f>
        <v/>
      </c>
      <c r="CY104" t="str">
        <f ca="1" t="shared" si="79"/>
        <v/>
      </c>
      <c r="DG104" t="str">
        <f ca="1">IF(B104="","",step01标题尺码信息!$T$30)</f>
        <v/>
      </c>
      <c r="DH104" t="str">
        <f ca="1" t="shared" si="80"/>
        <v/>
      </c>
      <c r="DN104" t="str">
        <f ca="1" t="shared" si="81"/>
        <v/>
      </c>
      <c r="DW104" t="str">
        <f ca="1" t="shared" si="82"/>
        <v/>
      </c>
      <c r="ER104" t="str">
        <f ca="1">IF(B104="","",step01标题尺码信息!$T$37)</f>
        <v/>
      </c>
      <c r="ES104" t="str">
        <f ca="1" t="shared" si="83"/>
        <v/>
      </c>
      <c r="HF104" t="str">
        <f ca="1">IF(B104="","",step01标题尺码信息!$S$2)</f>
        <v/>
      </c>
      <c r="HH104" t="str">
        <f ca="1" t="shared" si="84"/>
        <v/>
      </c>
      <c r="HI104" t="str">
        <f ca="1" t="shared" si="85"/>
        <v/>
      </c>
      <c r="HL104" t="str">
        <f ca="1" t="shared" si="86"/>
        <v/>
      </c>
      <c r="IA104" t="str">
        <f ca="1" t="shared" si="87"/>
        <v/>
      </c>
    </row>
    <row r="105" spans="1:235">
      <c r="A105" t="str">
        <f ca="1">IF(B105="","",step01标题尺码信息!$B$3)</f>
        <v/>
      </c>
      <c r="B105" t="str">
        <f ca="1">IF(step01标题尺码信息!G107="","",step01标题尺码信息!G107)</f>
        <v/>
      </c>
      <c r="C105" t="str">
        <f ca="1">IF(B105="","",step01标题尺码信息!$E$3)</f>
        <v/>
      </c>
      <c r="D105" t="str">
        <f ca="1" t="shared" si="69"/>
        <v/>
      </c>
      <c r="E105" t="str">
        <f ca="1">IF(B105="","",VLOOKUP(B105,step01标题尺码信息!G:P,4,0))</f>
        <v/>
      </c>
      <c r="H105" t="str">
        <f ca="1">IF(B105="","",step01标题尺码信息!$R$19)</f>
        <v/>
      </c>
      <c r="I105" t="str">
        <f ca="1" t="shared" si="70"/>
        <v/>
      </c>
      <c r="M105" t="str">
        <f ca="1" t="shared" si="71"/>
        <v/>
      </c>
      <c r="U105" t="str">
        <f ca="1">IF(B105="","",step01标题尺码信息!$S$1)</f>
        <v/>
      </c>
      <c r="V105" t="str">
        <f ca="1" t="shared" si="72"/>
        <v/>
      </c>
      <c r="W105" t="str">
        <f ca="1">IF(B105="","",step01标题尺码信息!$V$1)</f>
        <v/>
      </c>
      <c r="X105" t="str">
        <f ca="1">IF(B105="","",step01标题尺码信息!$V$2)</f>
        <v/>
      </c>
      <c r="Y105" t="str">
        <f ca="1" t="shared" si="73"/>
        <v/>
      </c>
      <c r="Z105" t="str">
        <f ca="1" t="shared" si="74"/>
        <v/>
      </c>
      <c r="AA105" t="str">
        <f ca="1">IF(B105="","",IF(CB105="Parent","",VLOOKUP(B105,step01标题尺码信息!G:P,9,0)))</f>
        <v/>
      </c>
      <c r="AG105" t="str">
        <f ca="1" t="shared" si="88"/>
        <v/>
      </c>
      <c r="AH105" t="str">
        <f ca="1" t="shared" si="89"/>
        <v/>
      </c>
      <c r="AI105" t="str">
        <f ca="1">IF(OR(B105="",VLOOKUP(BH105,step02图片链接!B:E,4,0)=""),"",VLOOKUP(BH105,step02图片链接!B:E,4,0))</f>
        <v/>
      </c>
      <c r="AJ105" t="str">
        <f ca="1">IF(OR(B105="",VLOOKUP(BH105,step02图片链接!B:G,6,0)=""),"",VLOOKUP(BH105,step02图片链接!B:G,6,0))</f>
        <v/>
      </c>
      <c r="AK105" t="str">
        <f ca="1">IF(OR(B105="",VLOOKUP(BH105,step02图片链接!B:H,7,0)=""),"",VLOOKUP(BH105,step02图片链接!B:H,7,0))</f>
        <v/>
      </c>
      <c r="AL105" t="str">
        <f ca="1">IF(OR(B105="",VLOOKUP(BH105,step02图片链接!B:I,8,0)=""),"",VLOOKUP(BH105,step02图片链接!B:I,8,0))</f>
        <v/>
      </c>
      <c r="AM105" t="str">
        <f ca="1">IF(OR(B105="",VLOOKUP(BH105,step02图片链接!B:J,9,0)=""),"",VLOOKUP(BH105,step02图片链接!B:J,9,0))</f>
        <v/>
      </c>
      <c r="AN105" t="str">
        <f ca="1">IF(OR(B105="",VLOOKUP(BH105,step02图片链接!B:K,10,0)=""),"",VLOOKUP(BH105,step02图片链接!B:K,10,0))</f>
        <v/>
      </c>
      <c r="AO105" t="str">
        <f ca="1">IF(OR(B105="",VLOOKUP(BH105,step02图片链接!B:L,11,0)=""),"",VLOOKUP(BH105,step02图片链接!B:L,11,0))</f>
        <v/>
      </c>
      <c r="AP105" t="str">
        <f ca="1">IF(OR(B105="",VLOOKUP(BH105,step02图片链接!B:M,12,0)=""),"",VLOOKUP(BH105,step02图片链接!B:M,12,0))</f>
        <v/>
      </c>
      <c r="AQ105" t="str">
        <f ca="1">IF(OR(B105="",VLOOKUP(BH105,step02图片链接!B:N,13,0)=""),"",VLOOKUP(BH105,step02图片链接!B:N,13,0))</f>
        <v/>
      </c>
      <c r="AS105" t="str">
        <f ca="1" t="shared" si="90"/>
        <v/>
      </c>
      <c r="AT105" t="str">
        <f ca="1" t="shared" si="91"/>
        <v/>
      </c>
      <c r="AU105" t="str">
        <f ca="1" t="shared" si="75"/>
        <v/>
      </c>
      <c r="AV105" t="str">
        <f ca="1">IF(B105="","",step01标题尺码信息!$T$36)</f>
        <v/>
      </c>
      <c r="AZ105" t="str">
        <f ca="1">IF(B105="","",step01标题尺码信息!$S$41)</f>
        <v/>
      </c>
      <c r="BA105" t="str">
        <f ca="1">IF(B105="","",step01标题尺码信息!$S$43)</f>
        <v/>
      </c>
      <c r="BB105" t="str">
        <f ca="1">IF(B105="","",step01标题尺码信息!$S$45)</f>
        <v/>
      </c>
      <c r="BC105" t="str">
        <f ca="1">IF(B105="","",step01标题尺码信息!$S$47)</f>
        <v/>
      </c>
      <c r="BD105" t="str">
        <f ca="1">IF(B105="","",step01标题尺码信息!$S$49)</f>
        <v/>
      </c>
      <c r="BE105" t="str">
        <f ca="1">IF(B105="","",step01标题尺码信息!$S$53)</f>
        <v/>
      </c>
      <c r="BH105" t="str">
        <f ca="1">IF(B105="","",IF(DX105="Parent","",VLOOKUP(B105,step01标题尺码信息!G:P,7,0)))</f>
        <v/>
      </c>
      <c r="BI105" t="str">
        <f ca="1">IF(B105="","",IF(DX105="Parent","",VLOOKUP(B105,step01标题尺码信息!G:P,8,0)))</f>
        <v/>
      </c>
      <c r="BK105" t="str">
        <f ca="1" t="shared" si="76"/>
        <v/>
      </c>
      <c r="BL105" t="str">
        <f ca="1" t="shared" si="77"/>
        <v/>
      </c>
      <c r="BO105" t="str">
        <f ca="1" t="shared" si="78"/>
        <v/>
      </c>
      <c r="BR105" t="str">
        <f ca="1">IF(B105="","",IF(AS105="Parent","",VLOOKUP(B105,step01标题尺码信息!G:P,9,0)))</f>
        <v/>
      </c>
      <c r="CY105" t="str">
        <f ca="1" t="shared" si="79"/>
        <v/>
      </c>
      <c r="DG105" t="str">
        <f ca="1">IF(B105="","",step01标题尺码信息!$T$30)</f>
        <v/>
      </c>
      <c r="DH105" t="str">
        <f ca="1" t="shared" si="80"/>
        <v/>
      </c>
      <c r="DN105" t="str">
        <f ca="1" t="shared" si="81"/>
        <v/>
      </c>
      <c r="DW105" t="str">
        <f ca="1" t="shared" si="82"/>
        <v/>
      </c>
      <c r="ER105" t="str">
        <f ca="1">IF(B105="","",step01标题尺码信息!$T$37)</f>
        <v/>
      </c>
      <c r="ES105" t="str">
        <f ca="1" t="shared" si="83"/>
        <v/>
      </c>
      <c r="HF105" t="str">
        <f ca="1">IF(B105="","",step01标题尺码信息!$S$2)</f>
        <v/>
      </c>
      <c r="HH105" t="str">
        <f ca="1" t="shared" si="84"/>
        <v/>
      </c>
      <c r="HI105" t="str">
        <f ca="1" t="shared" si="85"/>
        <v/>
      </c>
      <c r="HL105" t="str">
        <f ca="1" t="shared" si="86"/>
        <v/>
      </c>
      <c r="IA105" t="str">
        <f ca="1" t="shared" si="87"/>
        <v/>
      </c>
    </row>
    <row r="106" spans="1:235">
      <c r="A106" t="str">
        <f ca="1">IF(B106="","",step01标题尺码信息!$B$3)</f>
        <v/>
      </c>
      <c r="B106" t="str">
        <f ca="1">IF(step01标题尺码信息!G108="","",step01标题尺码信息!G108)</f>
        <v/>
      </c>
      <c r="C106" t="str">
        <f ca="1">IF(B106="","",step01标题尺码信息!$E$3)</f>
        <v/>
      </c>
      <c r="D106" t="str">
        <f ca="1" t="shared" si="69"/>
        <v/>
      </c>
      <c r="E106" t="str">
        <f ca="1">IF(B106="","",VLOOKUP(B106,step01标题尺码信息!G:P,4,0))</f>
        <v/>
      </c>
      <c r="H106" t="str">
        <f ca="1">IF(B106="","",step01标题尺码信息!$R$19)</f>
        <v/>
      </c>
      <c r="I106" t="str">
        <f ca="1" t="shared" si="70"/>
        <v/>
      </c>
      <c r="M106" t="str">
        <f ca="1" t="shared" si="71"/>
        <v/>
      </c>
      <c r="U106" t="str">
        <f ca="1">IF(B106="","",step01标题尺码信息!$S$1)</f>
        <v/>
      </c>
      <c r="V106" t="str">
        <f ca="1" t="shared" si="72"/>
        <v/>
      </c>
      <c r="W106" t="str">
        <f ca="1">IF(B106="","",step01标题尺码信息!$V$1)</f>
        <v/>
      </c>
      <c r="X106" t="str">
        <f ca="1">IF(B106="","",step01标题尺码信息!$V$2)</f>
        <v/>
      </c>
      <c r="Y106" t="str">
        <f ca="1" t="shared" si="73"/>
        <v/>
      </c>
      <c r="Z106" t="str">
        <f ca="1" t="shared" si="74"/>
        <v/>
      </c>
      <c r="AA106" t="str">
        <f ca="1">IF(B106="","",IF(CB106="Parent","",VLOOKUP(B106,step01标题尺码信息!G:P,9,0)))</f>
        <v/>
      </c>
      <c r="AG106" t="str">
        <f ca="1" t="shared" si="88"/>
        <v/>
      </c>
      <c r="AH106" t="str">
        <f ca="1" t="shared" si="89"/>
        <v/>
      </c>
      <c r="AI106" t="str">
        <f ca="1">IF(OR(B106="",VLOOKUP(BH106,step02图片链接!B:E,4,0)=""),"",VLOOKUP(BH106,step02图片链接!B:E,4,0))</f>
        <v/>
      </c>
      <c r="AJ106" t="str">
        <f ca="1">IF(OR(B106="",VLOOKUP(BH106,step02图片链接!B:G,6,0)=""),"",VLOOKUP(BH106,step02图片链接!B:G,6,0))</f>
        <v/>
      </c>
      <c r="AK106" t="str">
        <f ca="1">IF(OR(B106="",VLOOKUP(BH106,step02图片链接!B:H,7,0)=""),"",VLOOKUP(BH106,step02图片链接!B:H,7,0))</f>
        <v/>
      </c>
      <c r="AL106" t="str">
        <f ca="1">IF(OR(B106="",VLOOKUP(BH106,step02图片链接!B:I,8,0)=""),"",VLOOKUP(BH106,step02图片链接!B:I,8,0))</f>
        <v/>
      </c>
      <c r="AM106" t="str">
        <f ca="1">IF(OR(B106="",VLOOKUP(BH106,step02图片链接!B:J,9,0)=""),"",VLOOKUP(BH106,step02图片链接!B:J,9,0))</f>
        <v/>
      </c>
      <c r="AN106" t="str">
        <f ca="1">IF(OR(B106="",VLOOKUP(BH106,step02图片链接!B:K,10,0)=""),"",VLOOKUP(BH106,step02图片链接!B:K,10,0))</f>
        <v/>
      </c>
      <c r="AO106" t="str">
        <f ca="1">IF(OR(B106="",VLOOKUP(BH106,step02图片链接!B:L,11,0)=""),"",VLOOKUP(BH106,step02图片链接!B:L,11,0))</f>
        <v/>
      </c>
      <c r="AP106" t="str">
        <f ca="1">IF(OR(B106="",VLOOKUP(BH106,step02图片链接!B:M,12,0)=""),"",VLOOKUP(BH106,step02图片链接!B:M,12,0))</f>
        <v/>
      </c>
      <c r="AQ106" t="str">
        <f ca="1">IF(OR(B106="",VLOOKUP(BH106,step02图片链接!B:N,13,0)=""),"",VLOOKUP(BH106,step02图片链接!B:N,13,0))</f>
        <v/>
      </c>
      <c r="AS106" t="str">
        <f ca="1" t="shared" si="90"/>
        <v/>
      </c>
      <c r="AT106" t="str">
        <f ca="1" t="shared" si="91"/>
        <v/>
      </c>
      <c r="AU106" t="str">
        <f ca="1" t="shared" si="75"/>
        <v/>
      </c>
      <c r="AV106" t="str">
        <f ca="1">IF(B106="","",step01标题尺码信息!$T$36)</f>
        <v/>
      </c>
      <c r="AZ106" t="str">
        <f ca="1">IF(B106="","",step01标题尺码信息!$S$41)</f>
        <v/>
      </c>
      <c r="BA106" t="str">
        <f ca="1">IF(B106="","",step01标题尺码信息!$S$43)</f>
        <v/>
      </c>
      <c r="BB106" t="str">
        <f ca="1">IF(B106="","",step01标题尺码信息!$S$45)</f>
        <v/>
      </c>
      <c r="BC106" t="str">
        <f ca="1">IF(B106="","",step01标题尺码信息!$S$47)</f>
        <v/>
      </c>
      <c r="BD106" t="str">
        <f ca="1">IF(B106="","",step01标题尺码信息!$S$49)</f>
        <v/>
      </c>
      <c r="BE106" t="str">
        <f ca="1">IF(B106="","",step01标题尺码信息!$S$53)</f>
        <v/>
      </c>
      <c r="BH106" t="str">
        <f ca="1">IF(B106="","",IF(DX106="Parent","",VLOOKUP(B106,step01标题尺码信息!G:P,7,0)))</f>
        <v/>
      </c>
      <c r="BI106" t="str">
        <f ca="1">IF(B106="","",IF(DX106="Parent","",VLOOKUP(B106,step01标题尺码信息!G:P,8,0)))</f>
        <v/>
      </c>
      <c r="BK106" t="str">
        <f ca="1" t="shared" si="76"/>
        <v/>
      </c>
      <c r="BL106" t="str">
        <f ca="1" t="shared" si="77"/>
        <v/>
      </c>
      <c r="BO106" t="str">
        <f ca="1" t="shared" si="78"/>
        <v/>
      </c>
      <c r="BR106" t="str">
        <f ca="1">IF(B106="","",IF(AS106="Parent","",VLOOKUP(B106,step01标题尺码信息!G:P,9,0)))</f>
        <v/>
      </c>
      <c r="CY106" t="str">
        <f ca="1" t="shared" si="79"/>
        <v/>
      </c>
      <c r="DG106" t="str">
        <f ca="1">IF(B106="","",step01标题尺码信息!$T$30)</f>
        <v/>
      </c>
      <c r="DH106" t="str">
        <f ca="1" t="shared" si="80"/>
        <v/>
      </c>
      <c r="DN106" t="str">
        <f ca="1" t="shared" si="81"/>
        <v/>
      </c>
      <c r="DW106" t="str">
        <f ca="1" t="shared" si="82"/>
        <v/>
      </c>
      <c r="ER106" t="str">
        <f ca="1">IF(B106="","",step01标题尺码信息!$T$37)</f>
        <v/>
      </c>
      <c r="ES106" t="str">
        <f ca="1" t="shared" si="83"/>
        <v/>
      </c>
      <c r="HF106" t="str">
        <f ca="1">IF(B106="","",step01标题尺码信息!$S$2)</f>
        <v/>
      </c>
      <c r="HH106" t="str">
        <f ca="1" t="shared" si="84"/>
        <v/>
      </c>
      <c r="HI106" t="str">
        <f ca="1" t="shared" si="85"/>
        <v/>
      </c>
      <c r="HL106" t="str">
        <f ca="1" t="shared" si="86"/>
        <v/>
      </c>
      <c r="IA106" t="str">
        <f ca="1" t="shared" si="87"/>
        <v/>
      </c>
    </row>
    <row r="107" spans="1:235">
      <c r="A107" t="str">
        <f ca="1">IF(B107="","",step01标题尺码信息!$B$3)</f>
        <v/>
      </c>
      <c r="B107" t="str">
        <f ca="1">IF(step01标题尺码信息!G109="","",step01标题尺码信息!G109)</f>
        <v/>
      </c>
      <c r="C107" t="str">
        <f ca="1">IF(B107="","",step01标题尺码信息!$E$3)</f>
        <v/>
      </c>
      <c r="D107" t="str">
        <f ca="1" t="shared" si="69"/>
        <v/>
      </c>
      <c r="E107" t="str">
        <f ca="1">IF(B107="","",VLOOKUP(B107,step01标题尺码信息!G:P,4,0))</f>
        <v/>
      </c>
      <c r="H107" t="str">
        <f ca="1">IF(B107="","",step01标题尺码信息!$R$19)</f>
        <v/>
      </c>
      <c r="I107" t="str">
        <f ca="1" t="shared" si="70"/>
        <v/>
      </c>
      <c r="M107" t="str">
        <f ca="1" t="shared" si="71"/>
        <v/>
      </c>
      <c r="U107" t="str">
        <f ca="1">IF(B107="","",step01标题尺码信息!$S$1)</f>
        <v/>
      </c>
      <c r="V107" t="str">
        <f ca="1" t="shared" si="72"/>
        <v/>
      </c>
      <c r="W107" t="str">
        <f ca="1">IF(B107="","",step01标题尺码信息!$V$1)</f>
        <v/>
      </c>
      <c r="X107" t="str">
        <f ca="1">IF(B107="","",step01标题尺码信息!$V$2)</f>
        <v/>
      </c>
      <c r="Y107" t="str">
        <f ca="1" t="shared" si="73"/>
        <v/>
      </c>
      <c r="Z107" t="str">
        <f ca="1" t="shared" si="74"/>
        <v/>
      </c>
      <c r="AA107" t="str">
        <f ca="1">IF(B107="","",IF(CB107="Parent","",VLOOKUP(B107,step01标题尺码信息!G:P,9,0)))</f>
        <v/>
      </c>
      <c r="AG107" t="str">
        <f ca="1" t="shared" si="88"/>
        <v/>
      </c>
      <c r="AH107" t="str">
        <f ca="1" t="shared" si="89"/>
        <v/>
      </c>
      <c r="AI107" t="str">
        <f ca="1">IF(OR(B107="",VLOOKUP(BH107,step02图片链接!B:E,4,0)=""),"",VLOOKUP(BH107,step02图片链接!B:E,4,0))</f>
        <v/>
      </c>
      <c r="AJ107" t="str">
        <f ca="1">IF(OR(B107="",VLOOKUP(BH107,step02图片链接!B:G,6,0)=""),"",VLOOKUP(BH107,step02图片链接!B:G,6,0))</f>
        <v/>
      </c>
      <c r="AK107" t="str">
        <f ca="1">IF(OR(B107="",VLOOKUP(BH107,step02图片链接!B:H,7,0)=""),"",VLOOKUP(BH107,step02图片链接!B:H,7,0))</f>
        <v/>
      </c>
      <c r="AL107" t="str">
        <f ca="1">IF(OR(B107="",VLOOKUP(BH107,step02图片链接!B:I,8,0)=""),"",VLOOKUP(BH107,step02图片链接!B:I,8,0))</f>
        <v/>
      </c>
      <c r="AM107" t="str">
        <f ca="1">IF(OR(B107="",VLOOKUP(BH107,step02图片链接!B:J,9,0)=""),"",VLOOKUP(BH107,step02图片链接!B:J,9,0))</f>
        <v/>
      </c>
      <c r="AN107" t="str">
        <f ca="1">IF(OR(B107="",VLOOKUP(BH107,step02图片链接!B:K,10,0)=""),"",VLOOKUP(BH107,step02图片链接!B:K,10,0))</f>
        <v/>
      </c>
      <c r="AO107" t="str">
        <f ca="1">IF(OR(B107="",VLOOKUP(BH107,step02图片链接!B:L,11,0)=""),"",VLOOKUP(BH107,step02图片链接!B:L,11,0))</f>
        <v/>
      </c>
      <c r="AP107" t="str">
        <f ca="1">IF(OR(B107="",VLOOKUP(BH107,step02图片链接!B:M,12,0)=""),"",VLOOKUP(BH107,step02图片链接!B:M,12,0))</f>
        <v/>
      </c>
      <c r="AQ107" t="str">
        <f ca="1">IF(OR(B107="",VLOOKUP(BH107,step02图片链接!B:N,13,0)=""),"",VLOOKUP(BH107,step02图片链接!B:N,13,0))</f>
        <v/>
      </c>
      <c r="AS107" t="str">
        <f ca="1" t="shared" si="90"/>
        <v/>
      </c>
      <c r="AT107" t="str">
        <f ca="1" t="shared" si="91"/>
        <v/>
      </c>
      <c r="AU107" t="str">
        <f ca="1" t="shared" si="75"/>
        <v/>
      </c>
      <c r="AV107" t="str">
        <f ca="1">IF(B107="","",step01标题尺码信息!$T$36)</f>
        <v/>
      </c>
      <c r="AZ107" t="str">
        <f ca="1">IF(B107="","",step01标题尺码信息!$S$41)</f>
        <v/>
      </c>
      <c r="BA107" t="str">
        <f ca="1">IF(B107="","",step01标题尺码信息!$S$43)</f>
        <v/>
      </c>
      <c r="BB107" t="str">
        <f ca="1">IF(B107="","",step01标题尺码信息!$S$45)</f>
        <v/>
      </c>
      <c r="BC107" t="str">
        <f ca="1">IF(B107="","",step01标题尺码信息!$S$47)</f>
        <v/>
      </c>
      <c r="BD107" t="str">
        <f ca="1">IF(B107="","",step01标题尺码信息!$S$49)</f>
        <v/>
      </c>
      <c r="BE107" t="str">
        <f ca="1">IF(B107="","",step01标题尺码信息!$S$53)</f>
        <v/>
      </c>
      <c r="BH107" t="str">
        <f ca="1">IF(B107="","",IF(DX107="Parent","",VLOOKUP(B107,step01标题尺码信息!G:P,7,0)))</f>
        <v/>
      </c>
      <c r="BI107" t="str">
        <f ca="1">IF(B107="","",IF(DX107="Parent","",VLOOKUP(B107,step01标题尺码信息!G:P,8,0)))</f>
        <v/>
      </c>
      <c r="BK107" t="str">
        <f ca="1" t="shared" si="76"/>
        <v/>
      </c>
      <c r="BL107" t="str">
        <f ca="1" t="shared" si="77"/>
        <v/>
      </c>
      <c r="BO107" t="str">
        <f ca="1" t="shared" si="78"/>
        <v/>
      </c>
      <c r="BR107" t="str">
        <f ca="1">IF(B107="","",IF(AS107="Parent","",VLOOKUP(B107,step01标题尺码信息!G:P,9,0)))</f>
        <v/>
      </c>
      <c r="CY107" t="str">
        <f ca="1" t="shared" si="79"/>
        <v/>
      </c>
      <c r="DG107" t="str">
        <f ca="1">IF(B107="","",step01标题尺码信息!$T$30)</f>
        <v/>
      </c>
      <c r="DH107" t="str">
        <f ca="1" t="shared" si="80"/>
        <v/>
      </c>
      <c r="DN107" t="str">
        <f ca="1" t="shared" si="81"/>
        <v/>
      </c>
      <c r="DW107" t="str">
        <f ca="1" t="shared" si="82"/>
        <v/>
      </c>
      <c r="ER107" t="str">
        <f ca="1">IF(B107="","",step01标题尺码信息!$T$37)</f>
        <v/>
      </c>
      <c r="ES107" t="str">
        <f ca="1" t="shared" si="83"/>
        <v/>
      </c>
      <c r="HF107" t="str">
        <f ca="1">IF(B107="","",step01标题尺码信息!$S$2)</f>
        <v/>
      </c>
      <c r="HH107" t="str">
        <f ca="1" t="shared" si="84"/>
        <v/>
      </c>
      <c r="HI107" t="str">
        <f ca="1" t="shared" si="85"/>
        <v/>
      </c>
      <c r="HL107" t="str">
        <f ca="1" t="shared" si="86"/>
        <v/>
      </c>
      <c r="IA107" t="str">
        <f ca="1" t="shared" si="87"/>
        <v/>
      </c>
    </row>
    <row r="108" spans="1:235">
      <c r="A108" t="str">
        <f ca="1">IF(B108="","",step01标题尺码信息!$B$3)</f>
        <v/>
      </c>
      <c r="B108" t="str">
        <f ca="1">IF(step01标题尺码信息!G110="","",step01标题尺码信息!G110)</f>
        <v/>
      </c>
      <c r="C108" t="str">
        <f ca="1">IF(B108="","",step01标题尺码信息!$E$3)</f>
        <v/>
      </c>
      <c r="D108" t="str">
        <f ca="1" t="shared" si="69"/>
        <v/>
      </c>
      <c r="E108" t="str">
        <f ca="1">IF(B108="","",VLOOKUP(B108,step01标题尺码信息!G:P,4,0))</f>
        <v/>
      </c>
      <c r="H108" t="str">
        <f ca="1">IF(B108="","",step01标题尺码信息!$R$19)</f>
        <v/>
      </c>
      <c r="I108" t="str">
        <f ca="1" t="shared" si="70"/>
        <v/>
      </c>
      <c r="M108" t="str">
        <f ca="1" t="shared" si="71"/>
        <v/>
      </c>
      <c r="U108" t="str">
        <f ca="1">IF(B108="","",step01标题尺码信息!$S$1)</f>
        <v/>
      </c>
      <c r="V108" t="str">
        <f ca="1" t="shared" si="72"/>
        <v/>
      </c>
      <c r="W108" t="str">
        <f ca="1">IF(B108="","",step01标题尺码信息!$V$1)</f>
        <v/>
      </c>
      <c r="X108" t="str">
        <f ca="1">IF(B108="","",step01标题尺码信息!$V$2)</f>
        <v/>
      </c>
      <c r="Y108" t="str">
        <f ca="1" t="shared" si="73"/>
        <v/>
      </c>
      <c r="Z108" t="str">
        <f ca="1" t="shared" si="74"/>
        <v/>
      </c>
      <c r="AA108" t="str">
        <f ca="1">IF(B108="","",IF(CB108="Parent","",VLOOKUP(B108,step01标题尺码信息!G:P,9,0)))</f>
        <v/>
      </c>
      <c r="AG108" t="str">
        <f ca="1" t="shared" si="88"/>
        <v/>
      </c>
      <c r="AH108" t="str">
        <f ca="1" t="shared" si="89"/>
        <v/>
      </c>
      <c r="AI108" t="str">
        <f ca="1">IF(OR(B108="",VLOOKUP(BH108,step02图片链接!B:E,4,0)=""),"",VLOOKUP(BH108,step02图片链接!B:E,4,0))</f>
        <v/>
      </c>
      <c r="AJ108" t="str">
        <f ca="1">IF(OR(B108="",VLOOKUP(BH108,step02图片链接!B:G,6,0)=""),"",VLOOKUP(BH108,step02图片链接!B:G,6,0))</f>
        <v/>
      </c>
      <c r="AK108" t="str">
        <f ca="1">IF(OR(B108="",VLOOKUP(BH108,step02图片链接!B:H,7,0)=""),"",VLOOKUP(BH108,step02图片链接!B:H,7,0))</f>
        <v/>
      </c>
      <c r="AL108" t="str">
        <f ca="1">IF(OR(B108="",VLOOKUP(BH108,step02图片链接!B:I,8,0)=""),"",VLOOKUP(BH108,step02图片链接!B:I,8,0))</f>
        <v/>
      </c>
      <c r="AM108" t="str">
        <f ca="1">IF(OR(B108="",VLOOKUP(BH108,step02图片链接!B:J,9,0)=""),"",VLOOKUP(BH108,step02图片链接!B:J,9,0))</f>
        <v/>
      </c>
      <c r="AN108" t="str">
        <f ca="1">IF(OR(B108="",VLOOKUP(BH108,step02图片链接!B:K,10,0)=""),"",VLOOKUP(BH108,step02图片链接!B:K,10,0))</f>
        <v/>
      </c>
      <c r="AO108" t="str">
        <f ca="1">IF(OR(B108="",VLOOKUP(BH108,step02图片链接!B:L,11,0)=""),"",VLOOKUP(BH108,step02图片链接!B:L,11,0))</f>
        <v/>
      </c>
      <c r="AP108" t="str">
        <f ca="1">IF(OR(B108="",VLOOKUP(BH108,step02图片链接!B:M,12,0)=""),"",VLOOKUP(BH108,step02图片链接!B:M,12,0))</f>
        <v/>
      </c>
      <c r="AQ108" t="str">
        <f ca="1">IF(OR(B108="",VLOOKUP(BH108,step02图片链接!B:N,13,0)=""),"",VLOOKUP(BH108,step02图片链接!B:N,13,0))</f>
        <v/>
      </c>
      <c r="AS108" t="str">
        <f ca="1" t="shared" si="90"/>
        <v/>
      </c>
      <c r="AT108" t="str">
        <f ca="1" t="shared" si="91"/>
        <v/>
      </c>
      <c r="AU108" t="str">
        <f ca="1" t="shared" si="75"/>
        <v/>
      </c>
      <c r="AV108" t="str">
        <f ca="1">IF(B108="","",step01标题尺码信息!$T$36)</f>
        <v/>
      </c>
      <c r="AZ108" t="str">
        <f ca="1">IF(B108="","",step01标题尺码信息!$S$41)</f>
        <v/>
      </c>
      <c r="BA108" t="str">
        <f ca="1">IF(B108="","",step01标题尺码信息!$S$43)</f>
        <v/>
      </c>
      <c r="BB108" t="str">
        <f ca="1">IF(B108="","",step01标题尺码信息!$S$45)</f>
        <v/>
      </c>
      <c r="BC108" t="str">
        <f ca="1">IF(B108="","",step01标题尺码信息!$S$47)</f>
        <v/>
      </c>
      <c r="BD108" t="str">
        <f ca="1">IF(B108="","",step01标题尺码信息!$S$49)</f>
        <v/>
      </c>
      <c r="BE108" t="str">
        <f ca="1">IF(B108="","",step01标题尺码信息!$S$53)</f>
        <v/>
      </c>
      <c r="BH108" t="str">
        <f ca="1">IF(B108="","",IF(DX108="Parent","",VLOOKUP(B108,step01标题尺码信息!G:P,7,0)))</f>
        <v/>
      </c>
      <c r="BI108" t="str">
        <f ca="1">IF(B108="","",IF(DX108="Parent","",VLOOKUP(B108,step01标题尺码信息!G:P,8,0)))</f>
        <v/>
      </c>
      <c r="BK108" t="str">
        <f ca="1" t="shared" si="76"/>
        <v/>
      </c>
      <c r="BL108" t="str">
        <f ca="1" t="shared" si="77"/>
        <v/>
      </c>
      <c r="BO108" t="str">
        <f ca="1" t="shared" si="78"/>
        <v/>
      </c>
      <c r="BR108" t="str">
        <f ca="1">IF(B108="","",IF(AS108="Parent","",VLOOKUP(B108,step01标题尺码信息!G:P,9,0)))</f>
        <v/>
      </c>
      <c r="CY108" t="str">
        <f ca="1" t="shared" si="79"/>
        <v/>
      </c>
      <c r="DG108" t="str">
        <f ca="1">IF(B108="","",step01标题尺码信息!$T$30)</f>
        <v/>
      </c>
      <c r="DH108" t="str">
        <f ca="1" t="shared" si="80"/>
        <v/>
      </c>
      <c r="DN108" t="str">
        <f ca="1" t="shared" si="81"/>
        <v/>
      </c>
      <c r="DW108" t="str">
        <f ca="1" t="shared" si="82"/>
        <v/>
      </c>
      <c r="ER108" t="str">
        <f ca="1">IF(B108="","",step01标题尺码信息!$T$37)</f>
        <v/>
      </c>
      <c r="ES108" t="str">
        <f ca="1" t="shared" si="83"/>
        <v/>
      </c>
      <c r="HF108" t="str">
        <f ca="1">IF(B108="","",step01标题尺码信息!$S$2)</f>
        <v/>
      </c>
      <c r="HH108" t="str">
        <f ca="1" t="shared" si="84"/>
        <v/>
      </c>
      <c r="HI108" t="str">
        <f ca="1" t="shared" si="85"/>
        <v/>
      </c>
      <c r="HL108" t="str">
        <f ca="1" t="shared" si="86"/>
        <v/>
      </c>
      <c r="IA108" t="str">
        <f ca="1" t="shared" si="87"/>
        <v/>
      </c>
    </row>
    <row r="109" spans="1:235">
      <c r="A109" t="str">
        <f ca="1">IF(B109="","",step01标题尺码信息!$B$3)</f>
        <v/>
      </c>
      <c r="B109" t="str">
        <f ca="1">IF(step01标题尺码信息!G111="","",step01标题尺码信息!G111)</f>
        <v/>
      </c>
      <c r="C109" t="str">
        <f ca="1">IF(B109="","",step01标题尺码信息!$E$3)</f>
        <v/>
      </c>
      <c r="D109" t="str">
        <f ca="1" t="shared" si="69"/>
        <v/>
      </c>
      <c r="E109" t="str">
        <f ca="1">IF(B109="","",VLOOKUP(B109,step01标题尺码信息!G:P,4,0))</f>
        <v/>
      </c>
      <c r="H109" t="str">
        <f ca="1">IF(B109="","",step01标题尺码信息!$R$19)</f>
        <v/>
      </c>
      <c r="I109" t="str">
        <f ca="1" t="shared" si="70"/>
        <v/>
      </c>
      <c r="M109" t="str">
        <f ca="1" t="shared" si="71"/>
        <v/>
      </c>
      <c r="U109" t="str">
        <f ca="1">IF(B109="","",step01标题尺码信息!$S$1)</f>
        <v/>
      </c>
      <c r="V109" t="str">
        <f ca="1" t="shared" si="72"/>
        <v/>
      </c>
      <c r="W109" t="str">
        <f ca="1">IF(B109="","",step01标题尺码信息!$V$1)</f>
        <v/>
      </c>
      <c r="X109" t="str">
        <f ca="1">IF(B109="","",step01标题尺码信息!$V$2)</f>
        <v/>
      </c>
      <c r="Y109" t="str">
        <f ca="1" t="shared" si="73"/>
        <v/>
      </c>
      <c r="Z109" t="str">
        <f ca="1" t="shared" si="74"/>
        <v/>
      </c>
      <c r="AA109" t="str">
        <f ca="1">IF(B109="","",IF(CB109="Parent","",VLOOKUP(B109,step01标题尺码信息!G:P,9,0)))</f>
        <v/>
      </c>
      <c r="AG109" t="str">
        <f ca="1" t="shared" si="88"/>
        <v/>
      </c>
      <c r="AH109" t="str">
        <f ca="1" t="shared" si="89"/>
        <v/>
      </c>
      <c r="AI109" t="str">
        <f ca="1">IF(OR(B109="",VLOOKUP(BH109,step02图片链接!B:E,4,0)=""),"",VLOOKUP(BH109,step02图片链接!B:E,4,0))</f>
        <v/>
      </c>
      <c r="AJ109" t="str">
        <f ca="1">IF(OR(B109="",VLOOKUP(BH109,step02图片链接!B:G,6,0)=""),"",VLOOKUP(BH109,step02图片链接!B:G,6,0))</f>
        <v/>
      </c>
      <c r="AK109" t="str">
        <f ca="1">IF(OR(B109="",VLOOKUP(BH109,step02图片链接!B:H,7,0)=""),"",VLOOKUP(BH109,step02图片链接!B:H,7,0))</f>
        <v/>
      </c>
      <c r="AL109" t="str">
        <f ca="1">IF(OR(B109="",VLOOKUP(BH109,step02图片链接!B:I,8,0)=""),"",VLOOKUP(BH109,step02图片链接!B:I,8,0))</f>
        <v/>
      </c>
      <c r="AM109" t="str">
        <f ca="1">IF(OR(B109="",VLOOKUP(BH109,step02图片链接!B:J,9,0)=""),"",VLOOKUP(BH109,step02图片链接!B:J,9,0))</f>
        <v/>
      </c>
      <c r="AN109" t="str">
        <f ca="1">IF(OR(B109="",VLOOKUP(BH109,step02图片链接!B:K,10,0)=""),"",VLOOKUP(BH109,step02图片链接!B:K,10,0))</f>
        <v/>
      </c>
      <c r="AO109" t="str">
        <f ca="1">IF(OR(B109="",VLOOKUP(BH109,step02图片链接!B:L,11,0)=""),"",VLOOKUP(BH109,step02图片链接!B:L,11,0))</f>
        <v/>
      </c>
      <c r="AP109" t="str">
        <f ca="1">IF(OR(B109="",VLOOKUP(BH109,step02图片链接!B:M,12,0)=""),"",VLOOKUP(BH109,step02图片链接!B:M,12,0))</f>
        <v/>
      </c>
      <c r="AQ109" t="str">
        <f ca="1">IF(OR(B109="",VLOOKUP(BH109,step02图片链接!B:N,13,0)=""),"",VLOOKUP(BH109,step02图片链接!B:N,13,0))</f>
        <v/>
      </c>
      <c r="AS109" t="str">
        <f ca="1" t="shared" si="90"/>
        <v/>
      </c>
      <c r="AT109" t="str">
        <f ca="1" t="shared" si="91"/>
        <v/>
      </c>
      <c r="AU109" t="str">
        <f ca="1" t="shared" si="75"/>
        <v/>
      </c>
      <c r="AV109" t="str">
        <f ca="1">IF(B109="","",step01标题尺码信息!$T$36)</f>
        <v/>
      </c>
      <c r="AZ109" t="str">
        <f ca="1">IF(B109="","",step01标题尺码信息!$S$41)</f>
        <v/>
      </c>
      <c r="BA109" t="str">
        <f ca="1">IF(B109="","",step01标题尺码信息!$S$43)</f>
        <v/>
      </c>
      <c r="BB109" t="str">
        <f ca="1">IF(B109="","",step01标题尺码信息!$S$45)</f>
        <v/>
      </c>
      <c r="BC109" t="str">
        <f ca="1">IF(B109="","",step01标题尺码信息!$S$47)</f>
        <v/>
      </c>
      <c r="BD109" t="str">
        <f ca="1">IF(B109="","",step01标题尺码信息!$S$49)</f>
        <v/>
      </c>
      <c r="BE109" t="str">
        <f ca="1">IF(B109="","",step01标题尺码信息!$S$53)</f>
        <v/>
      </c>
      <c r="BH109" t="str">
        <f ca="1">IF(B109="","",IF(DX109="Parent","",VLOOKUP(B109,step01标题尺码信息!G:P,7,0)))</f>
        <v/>
      </c>
      <c r="BI109" t="str">
        <f ca="1">IF(B109="","",IF(DX109="Parent","",VLOOKUP(B109,step01标题尺码信息!G:P,8,0)))</f>
        <v/>
      </c>
      <c r="BK109" t="str">
        <f ca="1" t="shared" si="76"/>
        <v/>
      </c>
      <c r="BL109" t="str">
        <f ca="1" t="shared" si="77"/>
        <v/>
      </c>
      <c r="BO109" t="str">
        <f ca="1" t="shared" si="78"/>
        <v/>
      </c>
      <c r="BR109" t="str">
        <f ca="1">IF(B109="","",IF(AS109="Parent","",VLOOKUP(B109,step01标题尺码信息!G:P,9,0)))</f>
        <v/>
      </c>
      <c r="CY109" t="str">
        <f ca="1" t="shared" si="79"/>
        <v/>
      </c>
      <c r="DG109" t="str">
        <f ca="1">IF(B109="","",step01标题尺码信息!$T$30)</f>
        <v/>
      </c>
      <c r="DH109" t="str">
        <f ca="1" t="shared" si="80"/>
        <v/>
      </c>
      <c r="DN109" t="str">
        <f ca="1" t="shared" si="81"/>
        <v/>
      </c>
      <c r="DW109" t="str">
        <f ca="1" t="shared" si="82"/>
        <v/>
      </c>
      <c r="ER109" t="str">
        <f ca="1">IF(B109="","",step01标题尺码信息!$T$37)</f>
        <v/>
      </c>
      <c r="ES109" t="str">
        <f ca="1" t="shared" si="83"/>
        <v/>
      </c>
      <c r="HF109" t="str">
        <f ca="1">IF(B109="","",step01标题尺码信息!$S$2)</f>
        <v/>
      </c>
      <c r="HH109" t="str">
        <f ca="1" t="shared" si="84"/>
        <v/>
      </c>
      <c r="HI109" t="str">
        <f ca="1" t="shared" si="85"/>
        <v/>
      </c>
      <c r="HL109" t="str">
        <f ca="1" t="shared" si="86"/>
        <v/>
      </c>
      <c r="IA109" t="str">
        <f ca="1" t="shared" si="87"/>
        <v/>
      </c>
    </row>
    <row r="110" spans="1:235">
      <c r="A110" t="str">
        <f ca="1">IF(B110="","",step01标题尺码信息!$B$3)</f>
        <v/>
      </c>
      <c r="B110" t="str">
        <f ca="1">IF(step01标题尺码信息!G112="","",step01标题尺码信息!G112)</f>
        <v/>
      </c>
      <c r="C110" t="str">
        <f ca="1">IF(B110="","",step01标题尺码信息!$E$3)</f>
        <v/>
      </c>
      <c r="D110" t="str">
        <f ca="1" t="shared" si="69"/>
        <v/>
      </c>
      <c r="E110" t="str">
        <f ca="1">IF(B110="","",VLOOKUP(B110,step01标题尺码信息!G:P,4,0))</f>
        <v/>
      </c>
      <c r="H110" t="str">
        <f ca="1">IF(B110="","",step01标题尺码信息!$R$19)</f>
        <v/>
      </c>
      <c r="I110" t="str">
        <f ca="1" t="shared" si="70"/>
        <v/>
      </c>
      <c r="M110" t="str">
        <f ca="1" t="shared" si="71"/>
        <v/>
      </c>
      <c r="U110" t="str">
        <f ca="1">IF(B110="","",step01标题尺码信息!$S$1)</f>
        <v/>
      </c>
      <c r="V110" t="str">
        <f ca="1" t="shared" si="72"/>
        <v/>
      </c>
      <c r="W110" t="str">
        <f ca="1">IF(B110="","",step01标题尺码信息!$V$1)</f>
        <v/>
      </c>
      <c r="X110" t="str">
        <f ca="1">IF(B110="","",step01标题尺码信息!$V$2)</f>
        <v/>
      </c>
      <c r="Y110" t="str">
        <f ca="1" t="shared" si="73"/>
        <v/>
      </c>
      <c r="Z110" t="str">
        <f ca="1" t="shared" si="74"/>
        <v/>
      </c>
      <c r="AA110" t="str">
        <f ca="1">IF(B110="","",IF(CB110="Parent","",VLOOKUP(B110,step01标题尺码信息!G:P,9,0)))</f>
        <v/>
      </c>
      <c r="AG110" t="str">
        <f ca="1" t="shared" si="88"/>
        <v/>
      </c>
      <c r="AH110" t="str">
        <f ca="1" t="shared" si="89"/>
        <v/>
      </c>
      <c r="AI110" t="str">
        <f ca="1">IF(OR(B110="",VLOOKUP(BH110,step02图片链接!B:E,4,0)=""),"",VLOOKUP(BH110,step02图片链接!B:E,4,0))</f>
        <v/>
      </c>
      <c r="AJ110" t="str">
        <f ca="1">IF(OR(B110="",VLOOKUP(BH110,step02图片链接!B:G,6,0)=""),"",VLOOKUP(BH110,step02图片链接!B:G,6,0))</f>
        <v/>
      </c>
      <c r="AK110" t="str">
        <f ca="1">IF(OR(B110="",VLOOKUP(BH110,step02图片链接!B:H,7,0)=""),"",VLOOKUP(BH110,step02图片链接!B:H,7,0))</f>
        <v/>
      </c>
      <c r="AL110" t="str">
        <f ca="1">IF(OR(B110="",VLOOKUP(BH110,step02图片链接!B:I,8,0)=""),"",VLOOKUP(BH110,step02图片链接!B:I,8,0))</f>
        <v/>
      </c>
      <c r="AM110" t="str">
        <f ca="1">IF(OR(B110="",VLOOKUP(BH110,step02图片链接!B:J,9,0)=""),"",VLOOKUP(BH110,step02图片链接!B:J,9,0))</f>
        <v/>
      </c>
      <c r="AN110" t="str">
        <f ca="1">IF(OR(B110="",VLOOKUP(BH110,step02图片链接!B:K,10,0)=""),"",VLOOKUP(BH110,step02图片链接!B:K,10,0))</f>
        <v/>
      </c>
      <c r="AO110" t="str">
        <f ca="1">IF(OR(B110="",VLOOKUP(BH110,step02图片链接!B:L,11,0)=""),"",VLOOKUP(BH110,step02图片链接!B:L,11,0))</f>
        <v/>
      </c>
      <c r="AP110" t="str">
        <f ca="1">IF(OR(B110="",VLOOKUP(BH110,step02图片链接!B:M,12,0)=""),"",VLOOKUP(BH110,step02图片链接!B:M,12,0))</f>
        <v/>
      </c>
      <c r="AQ110" t="str">
        <f ca="1">IF(OR(B110="",VLOOKUP(BH110,step02图片链接!B:N,13,0)=""),"",VLOOKUP(BH110,step02图片链接!B:N,13,0))</f>
        <v/>
      </c>
      <c r="AS110" t="str">
        <f ca="1" t="shared" si="90"/>
        <v/>
      </c>
      <c r="AT110" t="str">
        <f ca="1" t="shared" si="91"/>
        <v/>
      </c>
      <c r="AU110" t="str">
        <f ca="1" t="shared" si="75"/>
        <v/>
      </c>
      <c r="AV110" t="str">
        <f ca="1">IF(B110="","",step01标题尺码信息!$T$36)</f>
        <v/>
      </c>
      <c r="AZ110" t="str">
        <f ca="1">IF(B110="","",step01标题尺码信息!$S$41)</f>
        <v/>
      </c>
      <c r="BA110" t="str">
        <f ca="1">IF(B110="","",step01标题尺码信息!$S$43)</f>
        <v/>
      </c>
      <c r="BB110" t="str">
        <f ca="1">IF(B110="","",step01标题尺码信息!$S$45)</f>
        <v/>
      </c>
      <c r="BC110" t="str">
        <f ca="1">IF(B110="","",step01标题尺码信息!$S$47)</f>
        <v/>
      </c>
      <c r="BD110" t="str">
        <f ca="1">IF(B110="","",step01标题尺码信息!$S$49)</f>
        <v/>
      </c>
      <c r="BE110" t="str">
        <f ca="1">IF(B110="","",step01标题尺码信息!$S$53)</f>
        <v/>
      </c>
      <c r="BH110" t="str">
        <f ca="1">IF(B110="","",IF(DX110="Parent","",VLOOKUP(B110,step01标题尺码信息!G:P,7,0)))</f>
        <v/>
      </c>
      <c r="BI110" t="str">
        <f ca="1">IF(B110="","",IF(DX110="Parent","",VLOOKUP(B110,step01标题尺码信息!G:P,8,0)))</f>
        <v/>
      </c>
      <c r="BK110" t="str">
        <f ca="1" t="shared" si="76"/>
        <v/>
      </c>
      <c r="BL110" t="str">
        <f ca="1" t="shared" si="77"/>
        <v/>
      </c>
      <c r="BO110" t="str">
        <f ca="1" t="shared" si="78"/>
        <v/>
      </c>
      <c r="BR110" t="str">
        <f ca="1">IF(B110="","",IF(AS110="Parent","",VLOOKUP(B110,step01标题尺码信息!G:P,9,0)))</f>
        <v/>
      </c>
      <c r="CY110" t="str">
        <f ca="1" t="shared" si="79"/>
        <v/>
      </c>
      <c r="DG110" t="str">
        <f ca="1">IF(B110="","",step01标题尺码信息!$T$30)</f>
        <v/>
      </c>
      <c r="DH110" t="str">
        <f ca="1" t="shared" si="80"/>
        <v/>
      </c>
      <c r="DN110" t="str">
        <f ca="1" t="shared" si="81"/>
        <v/>
      </c>
      <c r="DW110" t="str">
        <f ca="1" t="shared" si="82"/>
        <v/>
      </c>
      <c r="ER110" t="str">
        <f ca="1">IF(B110="","",step01标题尺码信息!$T$37)</f>
        <v/>
      </c>
      <c r="ES110" t="str">
        <f ca="1" t="shared" si="83"/>
        <v/>
      </c>
      <c r="HF110" t="str">
        <f ca="1">IF(B110="","",step01标题尺码信息!$S$2)</f>
        <v/>
      </c>
      <c r="HH110" t="str">
        <f ca="1" t="shared" si="84"/>
        <v/>
      </c>
      <c r="HI110" t="str">
        <f ca="1" t="shared" si="85"/>
        <v/>
      </c>
      <c r="HL110" t="str">
        <f ca="1" t="shared" si="86"/>
        <v/>
      </c>
      <c r="IA110" t="str">
        <f ca="1" t="shared" si="87"/>
        <v/>
      </c>
    </row>
    <row r="111" spans="1:235">
      <c r="A111" t="str">
        <f ca="1">IF(B111="","",step01标题尺码信息!$B$3)</f>
        <v/>
      </c>
      <c r="B111" t="str">
        <f ca="1">IF(step01标题尺码信息!G113="","",step01标题尺码信息!G113)</f>
        <v/>
      </c>
      <c r="C111" t="str">
        <f ca="1">IF(B111="","",step01标题尺码信息!$E$3)</f>
        <v/>
      </c>
      <c r="D111" t="str">
        <f ca="1" t="shared" si="69"/>
        <v/>
      </c>
      <c r="E111" t="str">
        <f ca="1">IF(B111="","",VLOOKUP(B111,step01标题尺码信息!G:P,4,0))</f>
        <v/>
      </c>
      <c r="H111" t="str">
        <f ca="1">IF(B111="","",step01标题尺码信息!$R$19)</f>
        <v/>
      </c>
      <c r="I111" t="str">
        <f ca="1" t="shared" si="70"/>
        <v/>
      </c>
      <c r="M111" t="str">
        <f ca="1" t="shared" si="71"/>
        <v/>
      </c>
      <c r="U111" t="str">
        <f ca="1">IF(B111="","",step01标题尺码信息!$S$1)</f>
        <v/>
      </c>
      <c r="V111" t="str">
        <f ca="1" t="shared" si="72"/>
        <v/>
      </c>
      <c r="W111" t="str">
        <f ca="1">IF(B111="","",step01标题尺码信息!$V$1)</f>
        <v/>
      </c>
      <c r="X111" t="str">
        <f ca="1">IF(B111="","",step01标题尺码信息!$V$2)</f>
        <v/>
      </c>
      <c r="Y111" t="str">
        <f ca="1" t="shared" si="73"/>
        <v/>
      </c>
      <c r="Z111" t="str">
        <f ca="1" t="shared" si="74"/>
        <v/>
      </c>
      <c r="AA111" t="str">
        <f ca="1">IF(B111="","",IF(CB111="Parent","",VLOOKUP(B111,step01标题尺码信息!G:P,9,0)))</f>
        <v/>
      </c>
      <c r="AG111" t="str">
        <f ca="1" t="shared" si="88"/>
        <v/>
      </c>
      <c r="AH111" t="str">
        <f ca="1" t="shared" si="89"/>
        <v/>
      </c>
      <c r="AI111" t="str">
        <f ca="1">IF(OR(B111="",VLOOKUP(BH111,step02图片链接!B:E,4,0)=""),"",VLOOKUP(BH111,step02图片链接!B:E,4,0))</f>
        <v/>
      </c>
      <c r="AJ111" t="str">
        <f ca="1">IF(OR(B111="",VLOOKUP(BH111,step02图片链接!B:G,6,0)=""),"",VLOOKUP(BH111,step02图片链接!B:G,6,0))</f>
        <v/>
      </c>
      <c r="AK111" t="str">
        <f ca="1">IF(OR(B111="",VLOOKUP(BH111,step02图片链接!B:H,7,0)=""),"",VLOOKUP(BH111,step02图片链接!B:H,7,0))</f>
        <v/>
      </c>
      <c r="AL111" t="str">
        <f ca="1">IF(OR(B111="",VLOOKUP(BH111,step02图片链接!B:I,8,0)=""),"",VLOOKUP(BH111,step02图片链接!B:I,8,0))</f>
        <v/>
      </c>
      <c r="AM111" t="str">
        <f ca="1">IF(OR(B111="",VLOOKUP(BH111,step02图片链接!B:J,9,0)=""),"",VLOOKUP(BH111,step02图片链接!B:J,9,0))</f>
        <v/>
      </c>
      <c r="AN111" t="str">
        <f ca="1">IF(OR(B111="",VLOOKUP(BH111,step02图片链接!B:K,10,0)=""),"",VLOOKUP(BH111,step02图片链接!B:K,10,0))</f>
        <v/>
      </c>
      <c r="AO111" t="str">
        <f ca="1">IF(OR(B111="",VLOOKUP(BH111,step02图片链接!B:L,11,0)=""),"",VLOOKUP(BH111,step02图片链接!B:L,11,0))</f>
        <v/>
      </c>
      <c r="AP111" t="str">
        <f ca="1">IF(OR(B111="",VLOOKUP(BH111,step02图片链接!B:M,12,0)=""),"",VLOOKUP(BH111,step02图片链接!B:M,12,0))</f>
        <v/>
      </c>
      <c r="AQ111" t="str">
        <f ca="1">IF(OR(B111="",VLOOKUP(BH111,step02图片链接!B:N,13,0)=""),"",VLOOKUP(BH111,step02图片链接!B:N,13,0))</f>
        <v/>
      </c>
      <c r="AS111" t="str">
        <f ca="1" t="shared" si="90"/>
        <v/>
      </c>
      <c r="AT111" t="str">
        <f ca="1" t="shared" si="91"/>
        <v/>
      </c>
      <c r="AU111" t="str">
        <f ca="1" t="shared" si="75"/>
        <v/>
      </c>
      <c r="AV111" t="str">
        <f ca="1">IF(B111="","",step01标题尺码信息!$T$36)</f>
        <v/>
      </c>
      <c r="AZ111" t="str">
        <f ca="1">IF(B111="","",step01标题尺码信息!$S$41)</f>
        <v/>
      </c>
      <c r="BA111" t="str">
        <f ca="1">IF(B111="","",step01标题尺码信息!$S$43)</f>
        <v/>
      </c>
      <c r="BB111" t="str">
        <f ca="1">IF(B111="","",step01标题尺码信息!$S$45)</f>
        <v/>
      </c>
      <c r="BC111" t="str">
        <f ca="1">IF(B111="","",step01标题尺码信息!$S$47)</f>
        <v/>
      </c>
      <c r="BD111" t="str">
        <f ca="1">IF(B111="","",step01标题尺码信息!$S$49)</f>
        <v/>
      </c>
      <c r="BE111" t="str">
        <f ca="1">IF(B111="","",step01标题尺码信息!$S$53)</f>
        <v/>
      </c>
      <c r="BH111" t="str">
        <f ca="1">IF(B111="","",IF(DX111="Parent","",VLOOKUP(B111,step01标题尺码信息!G:P,7,0)))</f>
        <v/>
      </c>
      <c r="BI111" t="str">
        <f ca="1">IF(B111="","",IF(DX111="Parent","",VLOOKUP(B111,step01标题尺码信息!G:P,8,0)))</f>
        <v/>
      </c>
      <c r="BK111" t="str">
        <f ca="1" t="shared" si="76"/>
        <v/>
      </c>
      <c r="BL111" t="str">
        <f ca="1" t="shared" si="77"/>
        <v/>
      </c>
      <c r="BO111" t="str">
        <f ca="1" t="shared" si="78"/>
        <v/>
      </c>
      <c r="BR111" t="str">
        <f ca="1">IF(B111="","",IF(AS111="Parent","",VLOOKUP(B111,step01标题尺码信息!G:P,9,0)))</f>
        <v/>
      </c>
      <c r="CY111" t="str">
        <f ca="1" t="shared" si="79"/>
        <v/>
      </c>
      <c r="DG111" t="str">
        <f ca="1">IF(B111="","",step01标题尺码信息!$T$30)</f>
        <v/>
      </c>
      <c r="DH111" t="str">
        <f ca="1" t="shared" si="80"/>
        <v/>
      </c>
      <c r="DN111" t="str">
        <f ca="1" t="shared" si="81"/>
        <v/>
      </c>
      <c r="DW111" t="str">
        <f ca="1" t="shared" si="82"/>
        <v/>
      </c>
      <c r="ER111" t="str">
        <f ca="1">IF(B111="","",step01标题尺码信息!$T$37)</f>
        <v/>
      </c>
      <c r="ES111" t="str">
        <f ca="1" t="shared" si="83"/>
        <v/>
      </c>
      <c r="HF111" t="str">
        <f ca="1">IF(B111="","",step01标题尺码信息!$S$2)</f>
        <v/>
      </c>
      <c r="HH111" t="str">
        <f ca="1" t="shared" si="84"/>
        <v/>
      </c>
      <c r="HI111" t="str">
        <f ca="1" t="shared" si="85"/>
        <v/>
      </c>
      <c r="HL111" t="str">
        <f ca="1" t="shared" si="86"/>
        <v/>
      </c>
      <c r="IA111" t="str">
        <f ca="1" t="shared" si="87"/>
        <v/>
      </c>
    </row>
    <row r="112" spans="1:235">
      <c r="A112" t="str">
        <f ca="1">IF(B112="","",step01标题尺码信息!$B$3)</f>
        <v/>
      </c>
      <c r="B112" t="str">
        <f ca="1">IF(step01标题尺码信息!G114="","",step01标题尺码信息!G114)</f>
        <v/>
      </c>
      <c r="C112" t="str">
        <f ca="1">IF(B112="","",step01标题尺码信息!$E$3)</f>
        <v/>
      </c>
      <c r="D112" t="str">
        <f ca="1" t="shared" si="69"/>
        <v/>
      </c>
      <c r="E112" t="str">
        <f ca="1">IF(B112="","",VLOOKUP(B112,step01标题尺码信息!G:P,4,0))</f>
        <v/>
      </c>
      <c r="H112" t="str">
        <f ca="1">IF(B112="","",step01标题尺码信息!$R$19)</f>
        <v/>
      </c>
      <c r="I112" t="str">
        <f ca="1" t="shared" si="70"/>
        <v/>
      </c>
      <c r="M112" t="str">
        <f ca="1" t="shared" si="71"/>
        <v/>
      </c>
      <c r="U112" t="str">
        <f ca="1">IF(B112="","",step01标题尺码信息!$S$1)</f>
        <v/>
      </c>
      <c r="V112" t="str">
        <f ca="1" t="shared" si="72"/>
        <v/>
      </c>
      <c r="W112" t="str">
        <f ca="1">IF(B112="","",step01标题尺码信息!$V$1)</f>
        <v/>
      </c>
      <c r="X112" t="str">
        <f ca="1">IF(B112="","",step01标题尺码信息!$V$2)</f>
        <v/>
      </c>
      <c r="Y112" t="str">
        <f ca="1" t="shared" si="73"/>
        <v/>
      </c>
      <c r="Z112" t="str">
        <f ca="1" t="shared" si="74"/>
        <v/>
      </c>
      <c r="AA112" t="str">
        <f ca="1">IF(B112="","",IF(CB112="Parent","",VLOOKUP(B112,step01标题尺码信息!G:P,9,0)))</f>
        <v/>
      </c>
      <c r="AG112" t="str">
        <f ca="1" t="shared" si="88"/>
        <v/>
      </c>
      <c r="AH112" t="str">
        <f ca="1" t="shared" si="89"/>
        <v/>
      </c>
      <c r="AI112" t="str">
        <f ca="1">IF(OR(B112="",VLOOKUP(BH112,step02图片链接!B:E,4,0)=""),"",VLOOKUP(BH112,step02图片链接!B:E,4,0))</f>
        <v/>
      </c>
      <c r="AJ112" t="str">
        <f ca="1">IF(OR(B112="",VLOOKUP(BH112,step02图片链接!B:G,6,0)=""),"",VLOOKUP(BH112,step02图片链接!B:G,6,0))</f>
        <v/>
      </c>
      <c r="AK112" t="str">
        <f ca="1">IF(OR(B112="",VLOOKUP(BH112,step02图片链接!B:H,7,0)=""),"",VLOOKUP(BH112,step02图片链接!B:H,7,0))</f>
        <v/>
      </c>
      <c r="AL112" t="str">
        <f ca="1">IF(OR(B112="",VLOOKUP(BH112,step02图片链接!B:I,8,0)=""),"",VLOOKUP(BH112,step02图片链接!B:I,8,0))</f>
        <v/>
      </c>
      <c r="AM112" t="str">
        <f ca="1">IF(OR(B112="",VLOOKUP(BH112,step02图片链接!B:J,9,0)=""),"",VLOOKUP(BH112,step02图片链接!B:J,9,0))</f>
        <v/>
      </c>
      <c r="AN112" t="str">
        <f ca="1">IF(OR(B112="",VLOOKUP(BH112,step02图片链接!B:K,10,0)=""),"",VLOOKUP(BH112,step02图片链接!B:K,10,0))</f>
        <v/>
      </c>
      <c r="AO112" t="str">
        <f ca="1">IF(OR(B112="",VLOOKUP(BH112,step02图片链接!B:L,11,0)=""),"",VLOOKUP(BH112,step02图片链接!B:L,11,0))</f>
        <v/>
      </c>
      <c r="AP112" t="str">
        <f ca="1">IF(OR(B112="",VLOOKUP(BH112,step02图片链接!B:M,12,0)=""),"",VLOOKUP(BH112,step02图片链接!B:M,12,0))</f>
        <v/>
      </c>
      <c r="AQ112" t="str">
        <f ca="1">IF(OR(B112="",VLOOKUP(BH112,step02图片链接!B:N,13,0)=""),"",VLOOKUP(BH112,step02图片链接!B:N,13,0))</f>
        <v/>
      </c>
      <c r="AS112" t="str">
        <f ca="1" t="shared" si="90"/>
        <v/>
      </c>
      <c r="AT112" t="str">
        <f ca="1" t="shared" si="91"/>
        <v/>
      </c>
      <c r="AU112" t="str">
        <f ca="1" t="shared" si="75"/>
        <v/>
      </c>
      <c r="AV112" t="str">
        <f ca="1">IF(B112="","",step01标题尺码信息!$T$36)</f>
        <v/>
      </c>
      <c r="AZ112" t="str">
        <f ca="1">IF(B112="","",step01标题尺码信息!$S$41)</f>
        <v/>
      </c>
      <c r="BA112" t="str">
        <f ca="1">IF(B112="","",step01标题尺码信息!$S$43)</f>
        <v/>
      </c>
      <c r="BB112" t="str">
        <f ca="1">IF(B112="","",step01标题尺码信息!$S$45)</f>
        <v/>
      </c>
      <c r="BC112" t="str">
        <f ca="1">IF(B112="","",step01标题尺码信息!$S$47)</f>
        <v/>
      </c>
      <c r="BD112" t="str">
        <f ca="1">IF(B112="","",step01标题尺码信息!$S$49)</f>
        <v/>
      </c>
      <c r="BE112" t="str">
        <f ca="1">IF(B112="","",step01标题尺码信息!$S$53)</f>
        <v/>
      </c>
      <c r="BH112" t="str">
        <f ca="1">IF(B112="","",IF(DX112="Parent","",VLOOKUP(B112,step01标题尺码信息!G:P,7,0)))</f>
        <v/>
      </c>
      <c r="BI112" t="str">
        <f ca="1">IF(B112="","",IF(DX112="Parent","",VLOOKUP(B112,step01标题尺码信息!G:P,8,0)))</f>
        <v/>
      </c>
      <c r="BK112" t="str">
        <f ca="1" t="shared" si="76"/>
        <v/>
      </c>
      <c r="BL112" t="str">
        <f ca="1" t="shared" si="77"/>
        <v/>
      </c>
      <c r="BO112" t="str">
        <f ca="1" t="shared" si="78"/>
        <v/>
      </c>
      <c r="BR112" t="str">
        <f ca="1">IF(B112="","",IF(AS112="Parent","",VLOOKUP(B112,step01标题尺码信息!G:P,9,0)))</f>
        <v/>
      </c>
      <c r="CY112" t="str">
        <f ca="1" t="shared" si="79"/>
        <v/>
      </c>
      <c r="DG112" t="str">
        <f ca="1">IF(B112="","",step01标题尺码信息!$T$30)</f>
        <v/>
      </c>
      <c r="DH112" t="str">
        <f ca="1" t="shared" si="80"/>
        <v/>
      </c>
      <c r="DN112" t="str">
        <f ca="1" t="shared" si="81"/>
        <v/>
      </c>
      <c r="DW112" t="str">
        <f ca="1" t="shared" si="82"/>
        <v/>
      </c>
      <c r="ER112" t="str">
        <f ca="1">IF(B112="","",step01标题尺码信息!$T$37)</f>
        <v/>
      </c>
      <c r="ES112" t="str">
        <f ca="1" t="shared" si="83"/>
        <v/>
      </c>
      <c r="HF112" t="str">
        <f ca="1">IF(B112="","",step01标题尺码信息!$S$2)</f>
        <v/>
      </c>
      <c r="HH112" t="str">
        <f ca="1" t="shared" si="84"/>
        <v/>
      </c>
      <c r="HI112" t="str">
        <f ca="1" t="shared" si="85"/>
        <v/>
      </c>
      <c r="HL112" t="str">
        <f ca="1" t="shared" si="86"/>
        <v/>
      </c>
      <c r="IA112" t="str">
        <f ca="1" t="shared" si="87"/>
        <v/>
      </c>
    </row>
    <row r="113" spans="1:235">
      <c r="A113" t="str">
        <f ca="1">IF(B113="","",step01标题尺码信息!$B$3)</f>
        <v/>
      </c>
      <c r="B113" t="str">
        <f ca="1">IF(step01标题尺码信息!G115="","",step01标题尺码信息!G115)</f>
        <v/>
      </c>
      <c r="C113" t="str">
        <f ca="1">IF(B113="","",step01标题尺码信息!$E$3)</f>
        <v/>
      </c>
      <c r="D113" t="str">
        <f ca="1" t="shared" si="69"/>
        <v/>
      </c>
      <c r="E113" t="str">
        <f ca="1">IF(B113="","",VLOOKUP(B113,step01标题尺码信息!G:P,4,0))</f>
        <v/>
      </c>
      <c r="H113" t="str">
        <f ca="1">IF(B113="","",step01标题尺码信息!$R$19)</f>
        <v/>
      </c>
      <c r="I113" t="str">
        <f ca="1" t="shared" si="70"/>
        <v/>
      </c>
      <c r="M113" t="str">
        <f ca="1" t="shared" si="71"/>
        <v/>
      </c>
      <c r="U113" t="str">
        <f ca="1">IF(B113="","",step01标题尺码信息!$S$1)</f>
        <v/>
      </c>
      <c r="V113" t="str">
        <f ca="1" t="shared" si="72"/>
        <v/>
      </c>
      <c r="W113" t="str">
        <f ca="1">IF(B113="","",step01标题尺码信息!$V$1)</f>
        <v/>
      </c>
      <c r="X113" t="str">
        <f ca="1">IF(B113="","",step01标题尺码信息!$V$2)</f>
        <v/>
      </c>
      <c r="Y113" t="str">
        <f ca="1" t="shared" si="73"/>
        <v/>
      </c>
      <c r="Z113" t="str">
        <f ca="1" t="shared" si="74"/>
        <v/>
      </c>
      <c r="AA113" t="str">
        <f ca="1">IF(B113="","",IF(CB113="Parent","",VLOOKUP(B113,step01标题尺码信息!G:P,9,0)))</f>
        <v/>
      </c>
      <c r="AG113" t="str">
        <f ca="1" t="shared" si="88"/>
        <v/>
      </c>
      <c r="AH113" t="str">
        <f ca="1" t="shared" si="89"/>
        <v/>
      </c>
      <c r="AI113" t="str">
        <f ca="1">IF(OR(B113="",VLOOKUP(BH113,step02图片链接!B:E,4,0)=""),"",VLOOKUP(BH113,step02图片链接!B:E,4,0))</f>
        <v/>
      </c>
      <c r="AJ113" t="str">
        <f ca="1">IF(OR(B113="",VLOOKUP(BH113,step02图片链接!B:G,6,0)=""),"",VLOOKUP(BH113,step02图片链接!B:G,6,0))</f>
        <v/>
      </c>
      <c r="AK113" t="str">
        <f ca="1">IF(OR(B113="",VLOOKUP(BH113,step02图片链接!B:H,7,0)=""),"",VLOOKUP(BH113,step02图片链接!B:H,7,0))</f>
        <v/>
      </c>
      <c r="AL113" t="str">
        <f ca="1">IF(OR(B113="",VLOOKUP(BH113,step02图片链接!B:I,8,0)=""),"",VLOOKUP(BH113,step02图片链接!B:I,8,0))</f>
        <v/>
      </c>
      <c r="AM113" t="str">
        <f ca="1">IF(OR(B113="",VLOOKUP(BH113,step02图片链接!B:J,9,0)=""),"",VLOOKUP(BH113,step02图片链接!B:J,9,0))</f>
        <v/>
      </c>
      <c r="AN113" t="str">
        <f ca="1">IF(OR(B113="",VLOOKUP(BH113,step02图片链接!B:K,10,0)=""),"",VLOOKUP(BH113,step02图片链接!B:K,10,0))</f>
        <v/>
      </c>
      <c r="AO113" t="str">
        <f ca="1">IF(OR(B113="",VLOOKUP(BH113,step02图片链接!B:L,11,0)=""),"",VLOOKUP(BH113,step02图片链接!B:L,11,0))</f>
        <v/>
      </c>
      <c r="AP113" t="str">
        <f ca="1">IF(OR(B113="",VLOOKUP(BH113,step02图片链接!B:M,12,0)=""),"",VLOOKUP(BH113,step02图片链接!B:M,12,0))</f>
        <v/>
      </c>
      <c r="AQ113" t="str">
        <f ca="1">IF(OR(B113="",VLOOKUP(BH113,step02图片链接!B:N,13,0)=""),"",VLOOKUP(BH113,step02图片链接!B:N,13,0))</f>
        <v/>
      </c>
      <c r="AS113" t="str">
        <f ca="1" t="shared" si="90"/>
        <v/>
      </c>
      <c r="AT113" t="str">
        <f ca="1" t="shared" si="91"/>
        <v/>
      </c>
      <c r="AU113" t="str">
        <f ca="1" t="shared" si="75"/>
        <v/>
      </c>
      <c r="AV113" t="str">
        <f ca="1">IF(B113="","",step01标题尺码信息!$T$36)</f>
        <v/>
      </c>
      <c r="AZ113" t="str">
        <f ca="1">IF(B113="","",step01标题尺码信息!$S$41)</f>
        <v/>
      </c>
      <c r="BA113" t="str">
        <f ca="1">IF(B113="","",step01标题尺码信息!$S$43)</f>
        <v/>
      </c>
      <c r="BB113" t="str">
        <f ca="1">IF(B113="","",step01标题尺码信息!$S$45)</f>
        <v/>
      </c>
      <c r="BC113" t="str">
        <f ca="1">IF(B113="","",step01标题尺码信息!$S$47)</f>
        <v/>
      </c>
      <c r="BD113" t="str">
        <f ca="1">IF(B113="","",step01标题尺码信息!$S$49)</f>
        <v/>
      </c>
      <c r="BE113" t="str">
        <f ca="1">IF(B113="","",step01标题尺码信息!$S$53)</f>
        <v/>
      </c>
      <c r="BH113" t="str">
        <f ca="1">IF(B113="","",IF(DX113="Parent","",VLOOKUP(B113,step01标题尺码信息!G:P,7,0)))</f>
        <v/>
      </c>
      <c r="BI113" t="str">
        <f ca="1">IF(B113="","",IF(DX113="Parent","",VLOOKUP(B113,step01标题尺码信息!G:P,8,0)))</f>
        <v/>
      </c>
      <c r="BK113" t="str">
        <f ca="1" t="shared" si="76"/>
        <v/>
      </c>
      <c r="BL113" t="str">
        <f ca="1" t="shared" si="77"/>
        <v/>
      </c>
      <c r="BO113" t="str">
        <f ca="1" t="shared" si="78"/>
        <v/>
      </c>
      <c r="BR113" t="str">
        <f ca="1">IF(B113="","",IF(AS113="Parent","",VLOOKUP(B113,step01标题尺码信息!G:P,9,0)))</f>
        <v/>
      </c>
      <c r="CY113" t="str">
        <f ca="1" t="shared" si="79"/>
        <v/>
      </c>
      <c r="DG113" t="str">
        <f ca="1">IF(B113="","",step01标题尺码信息!$T$30)</f>
        <v/>
      </c>
      <c r="DH113" t="str">
        <f ca="1" t="shared" si="80"/>
        <v/>
      </c>
      <c r="DN113" t="str">
        <f ca="1" t="shared" si="81"/>
        <v/>
      </c>
      <c r="DW113" t="str">
        <f ca="1" t="shared" si="82"/>
        <v/>
      </c>
      <c r="ER113" t="str">
        <f ca="1">IF(B113="","",step01标题尺码信息!$T$37)</f>
        <v/>
      </c>
      <c r="ES113" t="str">
        <f ca="1" t="shared" si="83"/>
        <v/>
      </c>
      <c r="HF113" t="str">
        <f ca="1">IF(B113="","",step01标题尺码信息!$S$2)</f>
        <v/>
      </c>
      <c r="HH113" t="str">
        <f ca="1" t="shared" si="84"/>
        <v/>
      </c>
      <c r="HI113" t="str">
        <f ca="1" t="shared" si="85"/>
        <v/>
      </c>
      <c r="HL113" t="str">
        <f ca="1" t="shared" si="86"/>
        <v/>
      </c>
      <c r="IA113" t="str">
        <f ca="1" t="shared" si="87"/>
        <v/>
      </c>
    </row>
    <row r="114" spans="1:235">
      <c r="A114" t="str">
        <f ca="1">IF(B114="","",step01标题尺码信息!$B$3)</f>
        <v/>
      </c>
      <c r="B114" t="str">
        <f ca="1">IF(step01标题尺码信息!G116="","",step01标题尺码信息!G116)</f>
        <v/>
      </c>
      <c r="C114" t="str">
        <f ca="1">IF(B114="","",step01标题尺码信息!$E$3)</f>
        <v/>
      </c>
      <c r="D114" t="str">
        <f ca="1" t="shared" si="69"/>
        <v/>
      </c>
      <c r="E114" t="str">
        <f ca="1">IF(B114="","",VLOOKUP(B114,step01标题尺码信息!G:P,4,0))</f>
        <v/>
      </c>
      <c r="H114" t="str">
        <f ca="1">IF(B114="","",step01标题尺码信息!$R$19)</f>
        <v/>
      </c>
      <c r="I114" t="str">
        <f ca="1" t="shared" si="70"/>
        <v/>
      </c>
      <c r="M114" t="str">
        <f ca="1" t="shared" si="71"/>
        <v/>
      </c>
      <c r="U114" t="str">
        <f ca="1">IF(B114="","",step01标题尺码信息!$S$1)</f>
        <v/>
      </c>
      <c r="V114" t="str">
        <f ca="1" t="shared" si="72"/>
        <v/>
      </c>
      <c r="W114" t="str">
        <f ca="1">IF(B114="","",step01标题尺码信息!$V$1)</f>
        <v/>
      </c>
      <c r="X114" t="str">
        <f ca="1">IF(B114="","",step01标题尺码信息!$V$2)</f>
        <v/>
      </c>
      <c r="Y114" t="str">
        <f ca="1" t="shared" si="73"/>
        <v/>
      </c>
      <c r="Z114" t="str">
        <f ca="1" t="shared" si="74"/>
        <v/>
      </c>
      <c r="AA114" t="str">
        <f ca="1">IF(B114="","",IF(CB114="Parent","",VLOOKUP(B114,step01标题尺码信息!G:P,9,0)))</f>
        <v/>
      </c>
      <c r="AG114" t="str">
        <f ca="1" t="shared" si="88"/>
        <v/>
      </c>
      <c r="AH114" t="str">
        <f ca="1" t="shared" si="89"/>
        <v/>
      </c>
      <c r="AI114" t="str">
        <f ca="1">IF(OR(B114="",VLOOKUP(BH114,step02图片链接!B:E,4,0)=""),"",VLOOKUP(BH114,step02图片链接!B:E,4,0))</f>
        <v/>
      </c>
      <c r="AJ114" t="str">
        <f ca="1">IF(OR(B114="",VLOOKUP(BH114,step02图片链接!B:G,6,0)=""),"",VLOOKUP(BH114,step02图片链接!B:G,6,0))</f>
        <v/>
      </c>
      <c r="AK114" t="str">
        <f ca="1">IF(OR(B114="",VLOOKUP(BH114,step02图片链接!B:H,7,0)=""),"",VLOOKUP(BH114,step02图片链接!B:H,7,0))</f>
        <v/>
      </c>
      <c r="AL114" t="str">
        <f ca="1">IF(OR(B114="",VLOOKUP(BH114,step02图片链接!B:I,8,0)=""),"",VLOOKUP(BH114,step02图片链接!B:I,8,0))</f>
        <v/>
      </c>
      <c r="AM114" t="str">
        <f ca="1">IF(OR(B114="",VLOOKUP(BH114,step02图片链接!B:J,9,0)=""),"",VLOOKUP(BH114,step02图片链接!B:J,9,0))</f>
        <v/>
      </c>
      <c r="AN114" t="str">
        <f ca="1">IF(OR(B114="",VLOOKUP(BH114,step02图片链接!B:K,10,0)=""),"",VLOOKUP(BH114,step02图片链接!B:K,10,0))</f>
        <v/>
      </c>
      <c r="AO114" t="str">
        <f ca="1">IF(OR(B114="",VLOOKUP(BH114,step02图片链接!B:L,11,0)=""),"",VLOOKUP(BH114,step02图片链接!B:L,11,0))</f>
        <v/>
      </c>
      <c r="AP114" t="str">
        <f ca="1">IF(OR(B114="",VLOOKUP(BH114,step02图片链接!B:M,12,0)=""),"",VLOOKUP(BH114,step02图片链接!B:M,12,0))</f>
        <v/>
      </c>
      <c r="AQ114" t="str">
        <f ca="1">IF(OR(B114="",VLOOKUP(BH114,step02图片链接!B:N,13,0)=""),"",VLOOKUP(BH114,step02图片链接!B:N,13,0))</f>
        <v/>
      </c>
      <c r="AS114" t="str">
        <f ca="1" t="shared" si="90"/>
        <v/>
      </c>
      <c r="AT114" t="str">
        <f ca="1" t="shared" si="91"/>
        <v/>
      </c>
      <c r="AU114" t="str">
        <f ca="1" t="shared" si="75"/>
        <v/>
      </c>
      <c r="AV114" t="str">
        <f ca="1">IF(B114="","",step01标题尺码信息!$T$36)</f>
        <v/>
      </c>
      <c r="AZ114" t="str">
        <f ca="1">IF(B114="","",step01标题尺码信息!$S$41)</f>
        <v/>
      </c>
      <c r="BA114" t="str">
        <f ca="1">IF(B114="","",step01标题尺码信息!$S$43)</f>
        <v/>
      </c>
      <c r="BB114" t="str">
        <f ca="1">IF(B114="","",step01标题尺码信息!$S$45)</f>
        <v/>
      </c>
      <c r="BC114" t="str">
        <f ca="1">IF(B114="","",step01标题尺码信息!$S$47)</f>
        <v/>
      </c>
      <c r="BD114" t="str">
        <f ca="1">IF(B114="","",step01标题尺码信息!$S$49)</f>
        <v/>
      </c>
      <c r="BE114" t="str">
        <f ca="1">IF(B114="","",step01标题尺码信息!$S$53)</f>
        <v/>
      </c>
      <c r="BH114" t="str">
        <f ca="1">IF(B114="","",IF(DX114="Parent","",VLOOKUP(B114,step01标题尺码信息!G:P,7,0)))</f>
        <v/>
      </c>
      <c r="BI114" t="str">
        <f ca="1">IF(B114="","",IF(DX114="Parent","",VLOOKUP(B114,step01标题尺码信息!G:P,8,0)))</f>
        <v/>
      </c>
      <c r="BK114" t="str">
        <f ca="1" t="shared" si="76"/>
        <v/>
      </c>
      <c r="BL114" t="str">
        <f ca="1" t="shared" si="77"/>
        <v/>
      </c>
      <c r="BO114" t="str">
        <f ca="1" t="shared" si="78"/>
        <v/>
      </c>
      <c r="BR114" t="str">
        <f ca="1">IF(B114="","",IF(AS114="Parent","",VLOOKUP(B114,step01标题尺码信息!G:P,9,0)))</f>
        <v/>
      </c>
      <c r="CY114" t="str">
        <f ca="1" t="shared" si="79"/>
        <v/>
      </c>
      <c r="DG114" t="str">
        <f ca="1">IF(B114="","",step01标题尺码信息!$T$30)</f>
        <v/>
      </c>
      <c r="DH114" t="str">
        <f ca="1" t="shared" si="80"/>
        <v/>
      </c>
      <c r="DN114" t="str">
        <f ca="1" t="shared" si="81"/>
        <v/>
      </c>
      <c r="DW114" t="str">
        <f ca="1" t="shared" si="82"/>
        <v/>
      </c>
      <c r="ER114" t="str">
        <f ca="1">IF(B114="","",step01标题尺码信息!$T$37)</f>
        <v/>
      </c>
      <c r="ES114" t="str">
        <f ca="1" t="shared" si="83"/>
        <v/>
      </c>
      <c r="HF114" t="str">
        <f ca="1">IF(B114="","",step01标题尺码信息!$S$2)</f>
        <v/>
      </c>
      <c r="HH114" t="str">
        <f ca="1" t="shared" si="84"/>
        <v/>
      </c>
      <c r="HI114" t="str">
        <f ca="1" t="shared" si="85"/>
        <v/>
      </c>
      <c r="HL114" t="str">
        <f ca="1" t="shared" si="86"/>
        <v/>
      </c>
      <c r="IA114" t="str">
        <f ca="1" t="shared" si="87"/>
        <v/>
      </c>
    </row>
    <row r="115" spans="1:235">
      <c r="A115" t="str">
        <f ca="1">IF(B115="","",step01标题尺码信息!$B$3)</f>
        <v/>
      </c>
      <c r="B115" t="str">
        <f ca="1">IF(step01标题尺码信息!G117="","",step01标题尺码信息!G117)</f>
        <v/>
      </c>
      <c r="C115" t="str">
        <f ca="1">IF(B115="","",step01标题尺码信息!$E$3)</f>
        <v/>
      </c>
      <c r="D115" t="str">
        <f ca="1" t="shared" si="69"/>
        <v/>
      </c>
      <c r="E115" t="str">
        <f ca="1">IF(B115="","",VLOOKUP(B115,step01标题尺码信息!G:P,4,0))</f>
        <v/>
      </c>
      <c r="H115" t="str">
        <f ca="1">IF(B115="","",step01标题尺码信息!$R$19)</f>
        <v/>
      </c>
      <c r="I115" t="str">
        <f ca="1" t="shared" si="70"/>
        <v/>
      </c>
      <c r="M115" t="str">
        <f ca="1" t="shared" si="71"/>
        <v/>
      </c>
      <c r="U115" t="str">
        <f ca="1">IF(B115="","",step01标题尺码信息!$S$1)</f>
        <v/>
      </c>
      <c r="V115" t="str">
        <f ca="1" t="shared" si="72"/>
        <v/>
      </c>
      <c r="W115" t="str">
        <f ca="1">IF(B115="","",step01标题尺码信息!$V$1)</f>
        <v/>
      </c>
      <c r="X115" t="str">
        <f ca="1">IF(B115="","",step01标题尺码信息!$V$2)</f>
        <v/>
      </c>
      <c r="Y115" t="str">
        <f ca="1" t="shared" si="73"/>
        <v/>
      </c>
      <c r="Z115" t="str">
        <f ca="1" t="shared" si="74"/>
        <v/>
      </c>
      <c r="AA115" t="str">
        <f ca="1">IF(B115="","",IF(CB115="Parent","",VLOOKUP(B115,step01标题尺码信息!G:P,9,0)))</f>
        <v/>
      </c>
      <c r="AG115" t="str">
        <f ca="1" t="shared" si="88"/>
        <v/>
      </c>
      <c r="AH115" t="str">
        <f ca="1" t="shared" si="89"/>
        <v/>
      </c>
      <c r="AI115" t="str">
        <f ca="1">IF(OR(B115="",VLOOKUP(BH115,step02图片链接!B:E,4,0)=""),"",VLOOKUP(BH115,step02图片链接!B:E,4,0))</f>
        <v/>
      </c>
      <c r="AJ115" t="str">
        <f ca="1">IF(OR(B115="",VLOOKUP(BH115,step02图片链接!B:G,6,0)=""),"",VLOOKUP(BH115,step02图片链接!B:G,6,0))</f>
        <v/>
      </c>
      <c r="AK115" t="str">
        <f ca="1">IF(OR(B115="",VLOOKUP(BH115,step02图片链接!B:H,7,0)=""),"",VLOOKUP(BH115,step02图片链接!B:H,7,0))</f>
        <v/>
      </c>
      <c r="AL115" t="str">
        <f ca="1">IF(OR(B115="",VLOOKUP(BH115,step02图片链接!B:I,8,0)=""),"",VLOOKUP(BH115,step02图片链接!B:I,8,0))</f>
        <v/>
      </c>
      <c r="AM115" t="str">
        <f ca="1">IF(OR(B115="",VLOOKUP(BH115,step02图片链接!B:J,9,0)=""),"",VLOOKUP(BH115,step02图片链接!B:J,9,0))</f>
        <v/>
      </c>
      <c r="AN115" t="str">
        <f ca="1">IF(OR(B115="",VLOOKUP(BH115,step02图片链接!B:K,10,0)=""),"",VLOOKUP(BH115,step02图片链接!B:K,10,0))</f>
        <v/>
      </c>
      <c r="AO115" t="str">
        <f ca="1">IF(OR(B115="",VLOOKUP(BH115,step02图片链接!B:L,11,0)=""),"",VLOOKUP(BH115,step02图片链接!B:L,11,0))</f>
        <v/>
      </c>
      <c r="AP115" t="str">
        <f ca="1">IF(OR(B115="",VLOOKUP(BH115,step02图片链接!B:M,12,0)=""),"",VLOOKUP(BH115,step02图片链接!B:M,12,0))</f>
        <v/>
      </c>
      <c r="AQ115" t="str">
        <f ca="1">IF(OR(B115="",VLOOKUP(BH115,step02图片链接!B:N,13,0)=""),"",VLOOKUP(BH115,step02图片链接!B:N,13,0))</f>
        <v/>
      </c>
      <c r="AS115" t="str">
        <f ca="1" t="shared" si="90"/>
        <v/>
      </c>
      <c r="AT115" t="str">
        <f ca="1" t="shared" si="91"/>
        <v/>
      </c>
      <c r="AU115" t="str">
        <f ca="1" t="shared" si="75"/>
        <v/>
      </c>
      <c r="AV115" t="str">
        <f ca="1">IF(B115="","",step01标题尺码信息!$T$36)</f>
        <v/>
      </c>
      <c r="AZ115" t="str">
        <f ca="1">IF(B115="","",step01标题尺码信息!$S$41)</f>
        <v/>
      </c>
      <c r="BA115" t="str">
        <f ca="1">IF(B115="","",step01标题尺码信息!$S$43)</f>
        <v/>
      </c>
      <c r="BB115" t="str">
        <f ca="1">IF(B115="","",step01标题尺码信息!$S$45)</f>
        <v/>
      </c>
      <c r="BC115" t="str">
        <f ca="1">IF(B115="","",step01标题尺码信息!$S$47)</f>
        <v/>
      </c>
      <c r="BD115" t="str">
        <f ca="1">IF(B115="","",step01标题尺码信息!$S$49)</f>
        <v/>
      </c>
      <c r="BE115" t="str">
        <f ca="1">IF(B115="","",step01标题尺码信息!$S$53)</f>
        <v/>
      </c>
      <c r="BH115" t="str">
        <f ca="1">IF(B115="","",IF(DX115="Parent","",VLOOKUP(B115,step01标题尺码信息!G:P,7,0)))</f>
        <v/>
      </c>
      <c r="BI115" t="str">
        <f ca="1">IF(B115="","",IF(DX115="Parent","",VLOOKUP(B115,step01标题尺码信息!G:P,8,0)))</f>
        <v/>
      </c>
      <c r="BK115" t="str">
        <f ca="1" t="shared" si="76"/>
        <v/>
      </c>
      <c r="BL115" t="str">
        <f ca="1" t="shared" si="77"/>
        <v/>
      </c>
      <c r="BO115" t="str">
        <f ca="1" t="shared" si="78"/>
        <v/>
      </c>
      <c r="BR115" t="str">
        <f ca="1">IF(B115="","",IF(AS115="Parent","",VLOOKUP(B115,step01标题尺码信息!G:P,9,0)))</f>
        <v/>
      </c>
      <c r="CY115" t="str">
        <f ca="1" t="shared" si="79"/>
        <v/>
      </c>
      <c r="DG115" t="str">
        <f ca="1">IF(B115="","",step01标题尺码信息!$T$30)</f>
        <v/>
      </c>
      <c r="DH115" t="str">
        <f ca="1" t="shared" si="80"/>
        <v/>
      </c>
      <c r="DN115" t="str">
        <f ca="1" t="shared" si="81"/>
        <v/>
      </c>
      <c r="DW115" t="str">
        <f ca="1" t="shared" si="82"/>
        <v/>
      </c>
      <c r="ER115" t="str">
        <f ca="1">IF(B115="","",step01标题尺码信息!$T$37)</f>
        <v/>
      </c>
      <c r="ES115" t="str">
        <f ca="1" t="shared" si="83"/>
        <v/>
      </c>
      <c r="HF115" t="str">
        <f ca="1">IF(B115="","",step01标题尺码信息!$S$2)</f>
        <v/>
      </c>
      <c r="HH115" t="str">
        <f ca="1" t="shared" si="84"/>
        <v/>
      </c>
      <c r="HI115" t="str">
        <f ca="1" t="shared" si="85"/>
        <v/>
      </c>
      <c r="HL115" t="str">
        <f ca="1" t="shared" si="86"/>
        <v/>
      </c>
      <c r="IA115" t="str">
        <f ca="1" t="shared" si="87"/>
        <v/>
      </c>
    </row>
    <row r="116" spans="1:235">
      <c r="A116" t="str">
        <f ca="1">IF(B116="","",step01标题尺码信息!$B$3)</f>
        <v/>
      </c>
      <c r="B116" t="str">
        <f ca="1">IF(step01标题尺码信息!G118="","",step01标题尺码信息!G118)</f>
        <v/>
      </c>
      <c r="C116" t="str">
        <f ca="1">IF(B116="","",step01标题尺码信息!$E$3)</f>
        <v/>
      </c>
      <c r="D116" t="str">
        <f ca="1" t="shared" si="69"/>
        <v/>
      </c>
      <c r="E116" t="str">
        <f ca="1">IF(B116="","",VLOOKUP(B116,step01标题尺码信息!G:P,4,0))</f>
        <v/>
      </c>
      <c r="H116" t="str">
        <f ca="1">IF(B116="","",step01标题尺码信息!$R$19)</f>
        <v/>
      </c>
      <c r="I116" t="str">
        <f ca="1" t="shared" si="70"/>
        <v/>
      </c>
      <c r="M116" t="str">
        <f ca="1" t="shared" si="71"/>
        <v/>
      </c>
      <c r="U116" t="str">
        <f ca="1">IF(B116="","",step01标题尺码信息!$S$1)</f>
        <v/>
      </c>
      <c r="V116" t="str">
        <f ca="1" t="shared" si="72"/>
        <v/>
      </c>
      <c r="W116" t="str">
        <f ca="1">IF(B116="","",step01标题尺码信息!$V$1)</f>
        <v/>
      </c>
      <c r="X116" t="str">
        <f ca="1">IF(B116="","",step01标题尺码信息!$V$2)</f>
        <v/>
      </c>
      <c r="Y116" t="str">
        <f ca="1" t="shared" si="73"/>
        <v/>
      </c>
      <c r="Z116" t="str">
        <f ca="1" t="shared" si="74"/>
        <v/>
      </c>
      <c r="AA116" t="str">
        <f ca="1">IF(B116="","",IF(CB116="Parent","",VLOOKUP(B116,step01标题尺码信息!G:P,9,0)))</f>
        <v/>
      </c>
      <c r="AG116" t="str">
        <f ca="1" t="shared" si="88"/>
        <v/>
      </c>
      <c r="AH116" t="str">
        <f ca="1" t="shared" si="89"/>
        <v/>
      </c>
      <c r="AI116" t="str">
        <f ca="1">IF(OR(B116="",VLOOKUP(BH116,step02图片链接!B:E,4,0)=""),"",VLOOKUP(BH116,step02图片链接!B:E,4,0))</f>
        <v/>
      </c>
      <c r="AJ116" t="str">
        <f ca="1">IF(OR(B116="",VLOOKUP(BH116,step02图片链接!B:G,6,0)=""),"",VLOOKUP(BH116,step02图片链接!B:G,6,0))</f>
        <v/>
      </c>
      <c r="AK116" t="str">
        <f ca="1">IF(OR(B116="",VLOOKUP(BH116,step02图片链接!B:H,7,0)=""),"",VLOOKUP(BH116,step02图片链接!B:H,7,0))</f>
        <v/>
      </c>
      <c r="AL116" t="str">
        <f ca="1">IF(OR(B116="",VLOOKUP(BH116,step02图片链接!B:I,8,0)=""),"",VLOOKUP(BH116,step02图片链接!B:I,8,0))</f>
        <v/>
      </c>
      <c r="AM116" t="str">
        <f ca="1">IF(OR(B116="",VLOOKUP(BH116,step02图片链接!B:J,9,0)=""),"",VLOOKUP(BH116,step02图片链接!B:J,9,0))</f>
        <v/>
      </c>
      <c r="AN116" t="str">
        <f ca="1">IF(OR(B116="",VLOOKUP(BH116,step02图片链接!B:K,10,0)=""),"",VLOOKUP(BH116,step02图片链接!B:K,10,0))</f>
        <v/>
      </c>
      <c r="AO116" t="str">
        <f ca="1">IF(OR(B116="",VLOOKUP(BH116,step02图片链接!B:L,11,0)=""),"",VLOOKUP(BH116,step02图片链接!B:L,11,0))</f>
        <v/>
      </c>
      <c r="AP116" t="str">
        <f ca="1">IF(OR(B116="",VLOOKUP(BH116,step02图片链接!B:M,12,0)=""),"",VLOOKUP(BH116,step02图片链接!B:M,12,0))</f>
        <v/>
      </c>
      <c r="AQ116" t="str">
        <f ca="1">IF(OR(B116="",VLOOKUP(BH116,step02图片链接!B:N,13,0)=""),"",VLOOKUP(BH116,step02图片链接!B:N,13,0))</f>
        <v/>
      </c>
      <c r="AS116" t="str">
        <f ca="1" t="shared" si="90"/>
        <v/>
      </c>
      <c r="AT116" t="str">
        <f ca="1" t="shared" si="91"/>
        <v/>
      </c>
      <c r="AU116" t="str">
        <f ca="1" t="shared" si="75"/>
        <v/>
      </c>
      <c r="AV116" t="str">
        <f ca="1">IF(B116="","",step01标题尺码信息!$T$36)</f>
        <v/>
      </c>
      <c r="AZ116" t="str">
        <f ca="1">IF(B116="","",step01标题尺码信息!$S$41)</f>
        <v/>
      </c>
      <c r="BA116" t="str">
        <f ca="1">IF(B116="","",step01标题尺码信息!$S$43)</f>
        <v/>
      </c>
      <c r="BB116" t="str">
        <f ca="1">IF(B116="","",step01标题尺码信息!$S$45)</f>
        <v/>
      </c>
      <c r="BC116" t="str">
        <f ca="1">IF(B116="","",step01标题尺码信息!$S$47)</f>
        <v/>
      </c>
      <c r="BD116" t="str">
        <f ca="1">IF(B116="","",step01标题尺码信息!$S$49)</f>
        <v/>
      </c>
      <c r="BE116" t="str">
        <f ca="1">IF(B116="","",step01标题尺码信息!$S$53)</f>
        <v/>
      </c>
      <c r="BH116" t="str">
        <f ca="1">IF(B116="","",IF(DX116="Parent","",VLOOKUP(B116,step01标题尺码信息!G:P,7,0)))</f>
        <v/>
      </c>
      <c r="BI116" t="str">
        <f ca="1">IF(B116="","",IF(DX116="Parent","",VLOOKUP(B116,step01标题尺码信息!G:P,8,0)))</f>
        <v/>
      </c>
      <c r="BK116" t="str">
        <f ca="1" t="shared" si="76"/>
        <v/>
      </c>
      <c r="BL116" t="str">
        <f ca="1" t="shared" si="77"/>
        <v/>
      </c>
      <c r="BO116" t="str">
        <f ca="1" t="shared" si="78"/>
        <v/>
      </c>
      <c r="BR116" t="str">
        <f ca="1">IF(B116="","",IF(AS116="Parent","",VLOOKUP(B116,step01标题尺码信息!G:P,9,0)))</f>
        <v/>
      </c>
      <c r="CY116" t="str">
        <f ca="1" t="shared" si="79"/>
        <v/>
      </c>
      <c r="DG116" t="str">
        <f ca="1">IF(B116="","",step01标题尺码信息!$T$30)</f>
        <v/>
      </c>
      <c r="DH116" t="str">
        <f ca="1" t="shared" si="80"/>
        <v/>
      </c>
      <c r="DN116" t="str">
        <f ca="1" t="shared" si="81"/>
        <v/>
      </c>
      <c r="DW116" t="str">
        <f ca="1" t="shared" si="82"/>
        <v/>
      </c>
      <c r="ER116" t="str">
        <f ca="1">IF(B116="","",step01标题尺码信息!$T$37)</f>
        <v/>
      </c>
      <c r="ES116" t="str">
        <f ca="1" t="shared" si="83"/>
        <v/>
      </c>
      <c r="HF116" t="str">
        <f ca="1">IF(B116="","",step01标题尺码信息!$S$2)</f>
        <v/>
      </c>
      <c r="HH116" t="str">
        <f ca="1" t="shared" si="84"/>
        <v/>
      </c>
      <c r="HI116" t="str">
        <f ca="1" t="shared" si="85"/>
        <v/>
      </c>
      <c r="HL116" t="str">
        <f ca="1" t="shared" si="86"/>
        <v/>
      </c>
      <c r="IA116" t="str">
        <f ca="1" t="shared" si="87"/>
        <v/>
      </c>
    </row>
    <row r="117" spans="1:235">
      <c r="A117" t="str">
        <f ca="1">IF(B117="","",step01标题尺码信息!$B$3)</f>
        <v/>
      </c>
      <c r="B117" t="str">
        <f ca="1">IF(step01标题尺码信息!G119="","",step01标题尺码信息!G119)</f>
        <v/>
      </c>
      <c r="C117" t="str">
        <f ca="1">IF(B117="","",step01标题尺码信息!$E$3)</f>
        <v/>
      </c>
      <c r="D117" t="str">
        <f ca="1" t="shared" si="69"/>
        <v/>
      </c>
      <c r="E117" t="str">
        <f ca="1">IF(B117="","",VLOOKUP(B117,step01标题尺码信息!G:P,4,0))</f>
        <v/>
      </c>
      <c r="H117" t="str">
        <f ca="1">IF(B117="","",step01标题尺码信息!$R$19)</f>
        <v/>
      </c>
      <c r="I117" t="str">
        <f ca="1" t="shared" si="70"/>
        <v/>
      </c>
      <c r="M117" t="str">
        <f ca="1" t="shared" si="71"/>
        <v/>
      </c>
      <c r="U117" t="str">
        <f ca="1">IF(B117="","",step01标题尺码信息!$S$1)</f>
        <v/>
      </c>
      <c r="V117" t="str">
        <f ca="1" t="shared" si="72"/>
        <v/>
      </c>
      <c r="W117" t="str">
        <f ca="1">IF(B117="","",step01标题尺码信息!$V$1)</f>
        <v/>
      </c>
      <c r="X117" t="str">
        <f ca="1">IF(B117="","",step01标题尺码信息!$V$2)</f>
        <v/>
      </c>
      <c r="Y117" t="str">
        <f ca="1" t="shared" si="73"/>
        <v/>
      </c>
      <c r="Z117" t="str">
        <f ca="1" t="shared" si="74"/>
        <v/>
      </c>
      <c r="AA117" t="str">
        <f ca="1">IF(B117="","",IF(CB117="Parent","",VLOOKUP(B117,step01标题尺码信息!G:P,9,0)))</f>
        <v/>
      </c>
      <c r="AG117" t="str">
        <f ca="1" t="shared" si="88"/>
        <v/>
      </c>
      <c r="AH117" t="str">
        <f ca="1" t="shared" si="89"/>
        <v/>
      </c>
      <c r="AI117" t="str">
        <f ca="1">IF(OR(B117="",VLOOKUP(BH117,step02图片链接!B:E,4,0)=""),"",VLOOKUP(BH117,step02图片链接!B:E,4,0))</f>
        <v/>
      </c>
      <c r="AJ117" t="str">
        <f ca="1">IF(OR(B117="",VLOOKUP(BH117,step02图片链接!B:G,6,0)=""),"",VLOOKUP(BH117,step02图片链接!B:G,6,0))</f>
        <v/>
      </c>
      <c r="AK117" t="str">
        <f ca="1">IF(OR(B117="",VLOOKUP(BH117,step02图片链接!B:H,7,0)=""),"",VLOOKUP(BH117,step02图片链接!B:H,7,0))</f>
        <v/>
      </c>
      <c r="AL117" t="str">
        <f ca="1">IF(OR(B117="",VLOOKUP(BH117,step02图片链接!B:I,8,0)=""),"",VLOOKUP(BH117,step02图片链接!B:I,8,0))</f>
        <v/>
      </c>
      <c r="AM117" t="str">
        <f ca="1">IF(OR(B117="",VLOOKUP(BH117,step02图片链接!B:J,9,0)=""),"",VLOOKUP(BH117,step02图片链接!B:J,9,0))</f>
        <v/>
      </c>
      <c r="AN117" t="str">
        <f ca="1">IF(OR(B117="",VLOOKUP(BH117,step02图片链接!B:K,10,0)=""),"",VLOOKUP(BH117,step02图片链接!B:K,10,0))</f>
        <v/>
      </c>
      <c r="AO117" t="str">
        <f ca="1">IF(OR(B117="",VLOOKUP(BH117,step02图片链接!B:L,11,0)=""),"",VLOOKUP(BH117,step02图片链接!B:L,11,0))</f>
        <v/>
      </c>
      <c r="AP117" t="str">
        <f ca="1">IF(OR(B117="",VLOOKUP(BH117,step02图片链接!B:M,12,0)=""),"",VLOOKUP(BH117,step02图片链接!B:M,12,0))</f>
        <v/>
      </c>
      <c r="AQ117" t="str">
        <f ca="1">IF(OR(B117="",VLOOKUP(BH117,step02图片链接!B:N,13,0)=""),"",VLOOKUP(BH117,step02图片链接!B:N,13,0))</f>
        <v/>
      </c>
      <c r="AS117" t="str">
        <f ca="1" t="shared" si="90"/>
        <v/>
      </c>
      <c r="AT117" t="str">
        <f ca="1" t="shared" si="91"/>
        <v/>
      </c>
      <c r="AU117" t="str">
        <f ca="1" t="shared" si="75"/>
        <v/>
      </c>
      <c r="AV117" t="str">
        <f ca="1">IF(B117="","",step01标题尺码信息!$T$36)</f>
        <v/>
      </c>
      <c r="AZ117" t="str">
        <f ca="1">IF(B117="","",step01标题尺码信息!$S$41)</f>
        <v/>
      </c>
      <c r="BA117" t="str">
        <f ca="1">IF(B117="","",step01标题尺码信息!$S$43)</f>
        <v/>
      </c>
      <c r="BB117" t="str">
        <f ca="1">IF(B117="","",step01标题尺码信息!$S$45)</f>
        <v/>
      </c>
      <c r="BC117" t="str">
        <f ca="1">IF(B117="","",step01标题尺码信息!$S$47)</f>
        <v/>
      </c>
      <c r="BD117" t="str">
        <f ca="1">IF(B117="","",step01标题尺码信息!$S$49)</f>
        <v/>
      </c>
      <c r="BE117" t="str">
        <f ca="1">IF(B117="","",step01标题尺码信息!$S$53)</f>
        <v/>
      </c>
      <c r="BH117" t="str">
        <f ca="1">IF(B117="","",IF(DX117="Parent","",VLOOKUP(B117,step01标题尺码信息!G:P,7,0)))</f>
        <v/>
      </c>
      <c r="BI117" t="str">
        <f ca="1">IF(B117="","",IF(DX117="Parent","",VLOOKUP(B117,step01标题尺码信息!G:P,8,0)))</f>
        <v/>
      </c>
      <c r="BK117" t="str">
        <f ca="1" t="shared" si="76"/>
        <v/>
      </c>
      <c r="BL117" t="str">
        <f ca="1" t="shared" si="77"/>
        <v/>
      </c>
      <c r="BO117" t="str">
        <f ca="1" t="shared" si="78"/>
        <v/>
      </c>
      <c r="BR117" t="str">
        <f ca="1">IF(B117="","",IF(AS117="Parent","",VLOOKUP(B117,step01标题尺码信息!G:P,9,0)))</f>
        <v/>
      </c>
      <c r="CY117" t="str">
        <f ca="1" t="shared" si="79"/>
        <v/>
      </c>
      <c r="DG117" t="str">
        <f ca="1">IF(B117="","",step01标题尺码信息!$T$30)</f>
        <v/>
      </c>
      <c r="DH117" t="str">
        <f ca="1" t="shared" si="80"/>
        <v/>
      </c>
      <c r="DN117" t="str">
        <f ca="1" t="shared" si="81"/>
        <v/>
      </c>
      <c r="DW117" t="str">
        <f ca="1" t="shared" si="82"/>
        <v/>
      </c>
      <c r="ER117" t="str">
        <f ca="1">IF(B117="","",step01标题尺码信息!$T$37)</f>
        <v/>
      </c>
      <c r="ES117" t="str">
        <f ca="1" t="shared" si="83"/>
        <v/>
      </c>
      <c r="HF117" t="str">
        <f ca="1">IF(B117="","",step01标题尺码信息!$S$2)</f>
        <v/>
      </c>
      <c r="HH117" t="str">
        <f ca="1" t="shared" si="84"/>
        <v/>
      </c>
      <c r="HI117" t="str">
        <f ca="1" t="shared" si="85"/>
        <v/>
      </c>
      <c r="HL117" t="str">
        <f ca="1" t="shared" si="86"/>
        <v/>
      </c>
      <c r="IA117" t="str">
        <f ca="1" t="shared" si="87"/>
        <v/>
      </c>
    </row>
    <row r="118" spans="1:235">
      <c r="A118" t="str">
        <f ca="1">IF(B118="","",step01标题尺码信息!$B$3)</f>
        <v/>
      </c>
      <c r="B118" t="str">
        <f ca="1">IF(step01标题尺码信息!G120="","",step01标题尺码信息!G120)</f>
        <v/>
      </c>
      <c r="C118" t="str">
        <f ca="1">IF(B118="","",step01标题尺码信息!$E$3)</f>
        <v/>
      </c>
      <c r="D118" t="str">
        <f ca="1" t="shared" si="69"/>
        <v/>
      </c>
      <c r="E118" t="str">
        <f ca="1">IF(B118="","",VLOOKUP(B118,step01标题尺码信息!G:P,4,0))</f>
        <v/>
      </c>
      <c r="H118" t="str">
        <f ca="1">IF(B118="","",step01标题尺码信息!$R$19)</f>
        <v/>
      </c>
      <c r="I118" t="str">
        <f ca="1" t="shared" si="70"/>
        <v/>
      </c>
      <c r="M118" t="str">
        <f ca="1" t="shared" si="71"/>
        <v/>
      </c>
      <c r="U118" t="str">
        <f ca="1">IF(B118="","",step01标题尺码信息!$S$1)</f>
        <v/>
      </c>
      <c r="V118" t="str">
        <f ca="1" t="shared" si="72"/>
        <v/>
      </c>
      <c r="W118" t="str">
        <f ca="1">IF(B118="","",step01标题尺码信息!$V$1)</f>
        <v/>
      </c>
      <c r="X118" t="str">
        <f ca="1">IF(B118="","",step01标题尺码信息!$V$2)</f>
        <v/>
      </c>
      <c r="Y118" t="str">
        <f ca="1" t="shared" si="73"/>
        <v/>
      </c>
      <c r="Z118" t="str">
        <f ca="1" t="shared" si="74"/>
        <v/>
      </c>
      <c r="AA118" t="str">
        <f ca="1">IF(B118="","",IF(CB118="Parent","",VLOOKUP(B118,step01标题尺码信息!G:P,9,0)))</f>
        <v/>
      </c>
      <c r="AG118" t="str">
        <f ca="1" t="shared" si="88"/>
        <v/>
      </c>
      <c r="AH118" t="str">
        <f ca="1" t="shared" si="89"/>
        <v/>
      </c>
      <c r="AI118" t="str">
        <f ca="1">IF(OR(B118="",VLOOKUP(BH118,step02图片链接!B:E,4,0)=""),"",VLOOKUP(BH118,step02图片链接!B:E,4,0))</f>
        <v/>
      </c>
      <c r="AJ118" t="str">
        <f ca="1">IF(OR(B118="",VLOOKUP(BH118,step02图片链接!B:G,6,0)=""),"",VLOOKUP(BH118,step02图片链接!B:G,6,0))</f>
        <v/>
      </c>
      <c r="AK118" t="str">
        <f ca="1">IF(OR(B118="",VLOOKUP(BH118,step02图片链接!B:H,7,0)=""),"",VLOOKUP(BH118,step02图片链接!B:H,7,0))</f>
        <v/>
      </c>
      <c r="AL118" t="str">
        <f ca="1">IF(OR(B118="",VLOOKUP(BH118,step02图片链接!B:I,8,0)=""),"",VLOOKUP(BH118,step02图片链接!B:I,8,0))</f>
        <v/>
      </c>
      <c r="AM118" t="str">
        <f ca="1">IF(OR(B118="",VLOOKUP(BH118,step02图片链接!B:J,9,0)=""),"",VLOOKUP(BH118,step02图片链接!B:J,9,0))</f>
        <v/>
      </c>
      <c r="AN118" t="str">
        <f ca="1">IF(OR(B118="",VLOOKUP(BH118,step02图片链接!B:K,10,0)=""),"",VLOOKUP(BH118,step02图片链接!B:K,10,0))</f>
        <v/>
      </c>
      <c r="AO118" t="str">
        <f ca="1">IF(OR(B118="",VLOOKUP(BH118,step02图片链接!B:L,11,0)=""),"",VLOOKUP(BH118,step02图片链接!B:L,11,0))</f>
        <v/>
      </c>
      <c r="AP118" t="str">
        <f ca="1">IF(OR(B118="",VLOOKUP(BH118,step02图片链接!B:M,12,0)=""),"",VLOOKUP(BH118,step02图片链接!B:M,12,0))</f>
        <v/>
      </c>
      <c r="AQ118" t="str">
        <f ca="1">IF(OR(B118="",VLOOKUP(BH118,step02图片链接!B:N,13,0)=""),"",VLOOKUP(BH118,step02图片链接!B:N,13,0))</f>
        <v/>
      </c>
      <c r="AS118" t="str">
        <f ca="1" t="shared" si="90"/>
        <v/>
      </c>
      <c r="AT118" t="str">
        <f ca="1" t="shared" si="91"/>
        <v/>
      </c>
      <c r="AU118" t="str">
        <f ca="1" t="shared" si="75"/>
        <v/>
      </c>
      <c r="AV118" t="str">
        <f ca="1">IF(B118="","",step01标题尺码信息!$T$36)</f>
        <v/>
      </c>
      <c r="AZ118" t="str">
        <f ca="1">IF(B118="","",step01标题尺码信息!$S$41)</f>
        <v/>
      </c>
      <c r="BA118" t="str">
        <f ca="1">IF(B118="","",step01标题尺码信息!$S$43)</f>
        <v/>
      </c>
      <c r="BB118" t="str">
        <f ca="1">IF(B118="","",step01标题尺码信息!$S$45)</f>
        <v/>
      </c>
      <c r="BC118" t="str">
        <f ca="1">IF(B118="","",step01标题尺码信息!$S$47)</f>
        <v/>
      </c>
      <c r="BD118" t="str">
        <f ca="1">IF(B118="","",step01标题尺码信息!$S$49)</f>
        <v/>
      </c>
      <c r="BE118" t="str">
        <f ca="1">IF(B118="","",step01标题尺码信息!$S$53)</f>
        <v/>
      </c>
      <c r="BH118" t="str">
        <f ca="1">IF(B118="","",IF(DX118="Parent","",VLOOKUP(B118,step01标题尺码信息!G:P,7,0)))</f>
        <v/>
      </c>
      <c r="BI118" t="str">
        <f ca="1">IF(B118="","",IF(DX118="Parent","",VLOOKUP(B118,step01标题尺码信息!G:P,8,0)))</f>
        <v/>
      </c>
      <c r="BK118" t="str">
        <f ca="1" t="shared" si="76"/>
        <v/>
      </c>
      <c r="BL118" t="str">
        <f ca="1" t="shared" si="77"/>
        <v/>
      </c>
      <c r="BO118" t="str">
        <f ca="1" t="shared" si="78"/>
        <v/>
      </c>
      <c r="BR118" t="str">
        <f ca="1">IF(B118="","",IF(AS118="Parent","",VLOOKUP(B118,step01标题尺码信息!G:P,9,0)))</f>
        <v/>
      </c>
      <c r="CY118" t="str">
        <f ca="1" t="shared" si="79"/>
        <v/>
      </c>
      <c r="DG118" t="str">
        <f ca="1">IF(B118="","",step01标题尺码信息!$T$30)</f>
        <v/>
      </c>
      <c r="DH118" t="str">
        <f ca="1" t="shared" si="80"/>
        <v/>
      </c>
      <c r="DN118" t="str">
        <f ca="1" t="shared" si="81"/>
        <v/>
      </c>
      <c r="DW118" t="str">
        <f ca="1" t="shared" si="82"/>
        <v/>
      </c>
      <c r="ER118" t="str">
        <f ca="1">IF(B118="","",step01标题尺码信息!$T$37)</f>
        <v/>
      </c>
      <c r="ES118" t="str">
        <f ca="1" t="shared" si="83"/>
        <v/>
      </c>
      <c r="HF118" t="str">
        <f ca="1">IF(B118="","",step01标题尺码信息!$S$2)</f>
        <v/>
      </c>
      <c r="HH118" t="str">
        <f ca="1" t="shared" si="84"/>
        <v/>
      </c>
      <c r="HI118" t="str">
        <f ca="1" t="shared" si="85"/>
        <v/>
      </c>
      <c r="HL118" t="str">
        <f ca="1" t="shared" si="86"/>
        <v/>
      </c>
      <c r="IA118" t="str">
        <f ca="1" t="shared" si="87"/>
        <v/>
      </c>
    </row>
    <row r="119" spans="1:235">
      <c r="A119" t="str">
        <f ca="1">IF(B119="","",step01标题尺码信息!$B$3)</f>
        <v/>
      </c>
      <c r="B119" t="str">
        <f ca="1">IF(step01标题尺码信息!G121="","",step01标题尺码信息!G121)</f>
        <v/>
      </c>
      <c r="C119" t="str">
        <f ca="1">IF(B119="","",step01标题尺码信息!$E$3)</f>
        <v/>
      </c>
      <c r="D119" t="str">
        <f ca="1" t="shared" si="69"/>
        <v/>
      </c>
      <c r="E119" t="str">
        <f ca="1">IF(B119="","",VLOOKUP(B119,step01标题尺码信息!G:P,4,0))</f>
        <v/>
      </c>
      <c r="H119" t="str">
        <f ca="1">IF(B119="","",step01标题尺码信息!$R$19)</f>
        <v/>
      </c>
      <c r="I119" t="str">
        <f ca="1" t="shared" si="70"/>
        <v/>
      </c>
      <c r="M119" t="str">
        <f ca="1" t="shared" si="71"/>
        <v/>
      </c>
      <c r="U119" t="str">
        <f ca="1">IF(B119="","",step01标题尺码信息!$S$1)</f>
        <v/>
      </c>
      <c r="V119" t="str">
        <f ca="1" t="shared" si="72"/>
        <v/>
      </c>
      <c r="W119" t="str">
        <f ca="1">IF(B119="","",step01标题尺码信息!$V$1)</f>
        <v/>
      </c>
      <c r="X119" t="str">
        <f ca="1">IF(B119="","",step01标题尺码信息!$V$2)</f>
        <v/>
      </c>
      <c r="Y119" t="str">
        <f ca="1" t="shared" si="73"/>
        <v/>
      </c>
      <c r="Z119" t="str">
        <f ca="1" t="shared" si="74"/>
        <v/>
      </c>
      <c r="AA119" t="str">
        <f ca="1">IF(B119="","",IF(CB119="Parent","",VLOOKUP(B119,step01标题尺码信息!G:P,9,0)))</f>
        <v/>
      </c>
      <c r="AG119" t="str">
        <f ca="1" t="shared" si="88"/>
        <v/>
      </c>
      <c r="AH119" t="str">
        <f ca="1" t="shared" si="89"/>
        <v/>
      </c>
      <c r="AI119" t="str">
        <f ca="1">IF(OR(B119="",VLOOKUP(BH119,step02图片链接!B:E,4,0)=""),"",VLOOKUP(BH119,step02图片链接!B:E,4,0))</f>
        <v/>
      </c>
      <c r="AJ119" t="str">
        <f ca="1">IF(OR(B119="",VLOOKUP(BH119,step02图片链接!B:G,6,0)=""),"",VLOOKUP(BH119,step02图片链接!B:G,6,0))</f>
        <v/>
      </c>
      <c r="AK119" t="str">
        <f ca="1">IF(OR(B119="",VLOOKUP(BH119,step02图片链接!B:H,7,0)=""),"",VLOOKUP(BH119,step02图片链接!B:H,7,0))</f>
        <v/>
      </c>
      <c r="AL119" t="str">
        <f ca="1">IF(OR(B119="",VLOOKUP(BH119,step02图片链接!B:I,8,0)=""),"",VLOOKUP(BH119,step02图片链接!B:I,8,0))</f>
        <v/>
      </c>
      <c r="AM119" t="str">
        <f ca="1">IF(OR(B119="",VLOOKUP(BH119,step02图片链接!B:J,9,0)=""),"",VLOOKUP(BH119,step02图片链接!B:J,9,0))</f>
        <v/>
      </c>
      <c r="AN119" t="str">
        <f ca="1">IF(OR(B119="",VLOOKUP(BH119,step02图片链接!B:K,10,0)=""),"",VLOOKUP(BH119,step02图片链接!B:K,10,0))</f>
        <v/>
      </c>
      <c r="AO119" t="str">
        <f ca="1">IF(OR(B119="",VLOOKUP(BH119,step02图片链接!B:L,11,0)=""),"",VLOOKUP(BH119,step02图片链接!B:L,11,0))</f>
        <v/>
      </c>
      <c r="AP119" t="str">
        <f ca="1">IF(OR(B119="",VLOOKUP(BH119,step02图片链接!B:M,12,0)=""),"",VLOOKUP(BH119,step02图片链接!B:M,12,0))</f>
        <v/>
      </c>
      <c r="AQ119" t="str">
        <f ca="1">IF(OR(B119="",VLOOKUP(BH119,step02图片链接!B:N,13,0)=""),"",VLOOKUP(BH119,step02图片链接!B:N,13,0))</f>
        <v/>
      </c>
      <c r="AS119" t="str">
        <f ca="1" t="shared" si="90"/>
        <v/>
      </c>
      <c r="AT119" t="str">
        <f ca="1" t="shared" si="91"/>
        <v/>
      </c>
      <c r="AU119" t="str">
        <f ca="1" t="shared" si="75"/>
        <v/>
      </c>
      <c r="AV119" t="str">
        <f ca="1">IF(B119="","",step01标题尺码信息!$T$36)</f>
        <v/>
      </c>
      <c r="AZ119" t="str">
        <f ca="1">IF(B119="","",step01标题尺码信息!$S$41)</f>
        <v/>
      </c>
      <c r="BA119" t="str">
        <f ca="1">IF(B119="","",step01标题尺码信息!$S$43)</f>
        <v/>
      </c>
      <c r="BB119" t="str">
        <f ca="1">IF(B119="","",step01标题尺码信息!$S$45)</f>
        <v/>
      </c>
      <c r="BC119" t="str">
        <f ca="1">IF(B119="","",step01标题尺码信息!$S$47)</f>
        <v/>
      </c>
      <c r="BD119" t="str">
        <f ca="1">IF(B119="","",step01标题尺码信息!$S$49)</f>
        <v/>
      </c>
      <c r="BE119" t="str">
        <f ca="1">IF(B119="","",step01标题尺码信息!$S$53)</f>
        <v/>
      </c>
      <c r="BH119" t="str">
        <f ca="1">IF(B119="","",IF(DX119="Parent","",VLOOKUP(B119,step01标题尺码信息!G:P,7,0)))</f>
        <v/>
      </c>
      <c r="BI119" t="str">
        <f ca="1">IF(B119="","",IF(DX119="Parent","",VLOOKUP(B119,step01标题尺码信息!G:P,8,0)))</f>
        <v/>
      </c>
      <c r="BK119" t="str">
        <f ca="1" t="shared" si="76"/>
        <v/>
      </c>
      <c r="BL119" t="str">
        <f ca="1" t="shared" si="77"/>
        <v/>
      </c>
      <c r="BO119" t="str">
        <f ca="1" t="shared" si="78"/>
        <v/>
      </c>
      <c r="BR119" t="str">
        <f ca="1">IF(B119="","",IF(AS119="Parent","",VLOOKUP(B119,step01标题尺码信息!G:P,9,0)))</f>
        <v/>
      </c>
      <c r="CY119" t="str">
        <f ca="1" t="shared" si="79"/>
        <v/>
      </c>
      <c r="DG119" t="str">
        <f ca="1">IF(B119="","",step01标题尺码信息!$T$30)</f>
        <v/>
      </c>
      <c r="DH119" t="str">
        <f ca="1" t="shared" si="80"/>
        <v/>
      </c>
      <c r="DN119" t="str">
        <f ca="1" t="shared" si="81"/>
        <v/>
      </c>
      <c r="DW119" t="str">
        <f ca="1" t="shared" si="82"/>
        <v/>
      </c>
      <c r="ER119" t="str">
        <f ca="1">IF(B119="","",step01标题尺码信息!$T$37)</f>
        <v/>
      </c>
      <c r="ES119" t="str">
        <f ca="1" t="shared" si="83"/>
        <v/>
      </c>
      <c r="HF119" t="str">
        <f ca="1">IF(B119="","",step01标题尺码信息!$S$2)</f>
        <v/>
      </c>
      <c r="HH119" t="str">
        <f ca="1" t="shared" si="84"/>
        <v/>
      </c>
      <c r="HI119" t="str">
        <f ca="1" t="shared" si="85"/>
        <v/>
      </c>
      <c r="HL119" t="str">
        <f ca="1" t="shared" si="86"/>
        <v/>
      </c>
      <c r="IA119" t="str">
        <f ca="1" t="shared" si="87"/>
        <v/>
      </c>
    </row>
    <row r="120" spans="1:235">
      <c r="A120" t="str">
        <f ca="1">IF(B120="","",step01标题尺码信息!$B$3)</f>
        <v/>
      </c>
      <c r="B120" t="str">
        <f ca="1">IF(step01标题尺码信息!G122="","",step01标题尺码信息!G122)</f>
        <v/>
      </c>
      <c r="C120" t="str">
        <f ca="1">IF(B120="","",step01标题尺码信息!$E$3)</f>
        <v/>
      </c>
      <c r="D120" t="str">
        <f ca="1" t="shared" si="69"/>
        <v/>
      </c>
      <c r="E120" t="str">
        <f ca="1">IF(B120="","",VLOOKUP(B120,step01标题尺码信息!G:P,4,0))</f>
        <v/>
      </c>
      <c r="H120" t="str">
        <f ca="1">IF(B120="","",step01标题尺码信息!$R$19)</f>
        <v/>
      </c>
      <c r="I120" t="str">
        <f ca="1" t="shared" si="70"/>
        <v/>
      </c>
      <c r="M120" t="str">
        <f ca="1" t="shared" si="71"/>
        <v/>
      </c>
      <c r="U120" t="str">
        <f ca="1">IF(B120="","",step01标题尺码信息!$S$1)</f>
        <v/>
      </c>
      <c r="V120" t="str">
        <f ca="1" t="shared" si="72"/>
        <v/>
      </c>
      <c r="W120" t="str">
        <f ca="1">IF(B120="","",step01标题尺码信息!$V$1)</f>
        <v/>
      </c>
      <c r="X120" t="str">
        <f ca="1">IF(B120="","",step01标题尺码信息!$V$2)</f>
        <v/>
      </c>
      <c r="Y120" t="str">
        <f ca="1" t="shared" si="73"/>
        <v/>
      </c>
      <c r="Z120" t="str">
        <f ca="1" t="shared" si="74"/>
        <v/>
      </c>
      <c r="AA120" t="str">
        <f ca="1">IF(B120="","",IF(CB120="Parent","",VLOOKUP(B120,step01标题尺码信息!G:P,9,0)))</f>
        <v/>
      </c>
      <c r="AG120" t="str">
        <f ca="1" t="shared" si="88"/>
        <v/>
      </c>
      <c r="AH120" t="str">
        <f ca="1" t="shared" si="89"/>
        <v/>
      </c>
      <c r="AI120" t="str">
        <f ca="1">IF(OR(B120="",VLOOKUP(BH120,step02图片链接!B:E,4,0)=""),"",VLOOKUP(BH120,step02图片链接!B:E,4,0))</f>
        <v/>
      </c>
      <c r="AJ120" t="str">
        <f ca="1">IF(OR(B120="",VLOOKUP(BH120,step02图片链接!B:G,6,0)=""),"",VLOOKUP(BH120,step02图片链接!B:G,6,0))</f>
        <v/>
      </c>
      <c r="AK120" t="str">
        <f ca="1">IF(OR(B120="",VLOOKUP(BH120,step02图片链接!B:H,7,0)=""),"",VLOOKUP(BH120,step02图片链接!B:H,7,0))</f>
        <v/>
      </c>
      <c r="AL120" t="str">
        <f ca="1">IF(OR(B120="",VLOOKUP(BH120,step02图片链接!B:I,8,0)=""),"",VLOOKUP(BH120,step02图片链接!B:I,8,0))</f>
        <v/>
      </c>
      <c r="AM120" t="str">
        <f ca="1">IF(OR(B120="",VLOOKUP(BH120,step02图片链接!B:J,9,0)=""),"",VLOOKUP(BH120,step02图片链接!B:J,9,0))</f>
        <v/>
      </c>
      <c r="AN120" t="str">
        <f ca="1">IF(OR(B120="",VLOOKUP(BH120,step02图片链接!B:K,10,0)=""),"",VLOOKUP(BH120,step02图片链接!B:K,10,0))</f>
        <v/>
      </c>
      <c r="AO120" t="str">
        <f ca="1">IF(OR(B120="",VLOOKUP(BH120,step02图片链接!B:L,11,0)=""),"",VLOOKUP(BH120,step02图片链接!B:L,11,0))</f>
        <v/>
      </c>
      <c r="AP120" t="str">
        <f ca="1">IF(OR(B120="",VLOOKUP(BH120,step02图片链接!B:M,12,0)=""),"",VLOOKUP(BH120,step02图片链接!B:M,12,0))</f>
        <v/>
      </c>
      <c r="AQ120" t="str">
        <f ca="1">IF(OR(B120="",VLOOKUP(BH120,step02图片链接!B:N,13,0)=""),"",VLOOKUP(BH120,step02图片链接!B:N,13,0))</f>
        <v/>
      </c>
      <c r="AS120" t="str">
        <f ca="1" t="shared" si="90"/>
        <v/>
      </c>
      <c r="AT120" t="str">
        <f ca="1" t="shared" si="91"/>
        <v/>
      </c>
      <c r="AU120" t="str">
        <f ca="1" t="shared" si="75"/>
        <v/>
      </c>
      <c r="AV120" t="str">
        <f ca="1">IF(B120="","",step01标题尺码信息!$T$36)</f>
        <v/>
      </c>
      <c r="AZ120" t="str">
        <f ca="1">IF(B120="","",step01标题尺码信息!$S$41)</f>
        <v/>
      </c>
      <c r="BA120" t="str">
        <f ca="1">IF(B120="","",step01标题尺码信息!$S$43)</f>
        <v/>
      </c>
      <c r="BB120" t="str">
        <f ca="1">IF(B120="","",step01标题尺码信息!$S$45)</f>
        <v/>
      </c>
      <c r="BC120" t="str">
        <f ca="1">IF(B120="","",step01标题尺码信息!$S$47)</f>
        <v/>
      </c>
      <c r="BD120" t="str">
        <f ca="1">IF(B120="","",step01标题尺码信息!$S$49)</f>
        <v/>
      </c>
      <c r="BE120" t="str">
        <f ca="1">IF(B120="","",step01标题尺码信息!$S$53)</f>
        <v/>
      </c>
      <c r="BH120" t="str">
        <f ca="1">IF(B120="","",IF(DX120="Parent","",VLOOKUP(B120,step01标题尺码信息!G:P,7,0)))</f>
        <v/>
      </c>
      <c r="BI120" t="str">
        <f ca="1">IF(B120="","",IF(DX120="Parent","",VLOOKUP(B120,step01标题尺码信息!G:P,8,0)))</f>
        <v/>
      </c>
      <c r="BK120" t="str">
        <f ca="1" t="shared" si="76"/>
        <v/>
      </c>
      <c r="BL120" t="str">
        <f ca="1" t="shared" si="77"/>
        <v/>
      </c>
      <c r="BO120" t="str">
        <f ca="1" t="shared" si="78"/>
        <v/>
      </c>
      <c r="BR120" t="str">
        <f ca="1">IF(B120="","",IF(AS120="Parent","",VLOOKUP(B120,step01标题尺码信息!G:P,9,0)))</f>
        <v/>
      </c>
      <c r="CY120" t="str">
        <f ca="1" t="shared" si="79"/>
        <v/>
      </c>
      <c r="DG120" t="str">
        <f ca="1">IF(B120="","",step01标题尺码信息!$T$30)</f>
        <v/>
      </c>
      <c r="DH120" t="str">
        <f ca="1" t="shared" si="80"/>
        <v/>
      </c>
      <c r="DN120" t="str">
        <f ca="1" t="shared" si="81"/>
        <v/>
      </c>
      <c r="DW120" t="str">
        <f ca="1" t="shared" si="82"/>
        <v/>
      </c>
      <c r="ER120" t="str">
        <f ca="1">IF(B120="","",step01标题尺码信息!$T$37)</f>
        <v/>
      </c>
      <c r="ES120" t="str">
        <f ca="1" t="shared" si="83"/>
        <v/>
      </c>
      <c r="HF120" t="str">
        <f ca="1">IF(B120="","",step01标题尺码信息!$S$2)</f>
        <v/>
      </c>
      <c r="HH120" t="str">
        <f ca="1" t="shared" si="84"/>
        <v/>
      </c>
      <c r="HI120" t="str">
        <f ca="1" t="shared" si="85"/>
        <v/>
      </c>
      <c r="HL120" t="str">
        <f ca="1" t="shared" si="86"/>
        <v/>
      </c>
      <c r="IA120" t="str">
        <f ca="1" t="shared" si="87"/>
        <v/>
      </c>
    </row>
    <row r="121" spans="1:235">
      <c r="A121" t="str">
        <f ca="1">IF(B121="","",step01标题尺码信息!$B$3)</f>
        <v/>
      </c>
      <c r="B121" t="str">
        <f ca="1">IF(step01标题尺码信息!G123="","",step01标题尺码信息!G123)</f>
        <v/>
      </c>
      <c r="C121" t="str">
        <f ca="1">IF(B121="","",step01标题尺码信息!$E$3)</f>
        <v/>
      </c>
      <c r="D121" t="str">
        <f ca="1" t="shared" si="69"/>
        <v/>
      </c>
      <c r="E121" t="str">
        <f ca="1">IF(B121="","",VLOOKUP(B121,step01标题尺码信息!G:P,4,0))</f>
        <v/>
      </c>
      <c r="H121" t="str">
        <f ca="1">IF(B121="","",step01标题尺码信息!$R$19)</f>
        <v/>
      </c>
      <c r="I121" t="str">
        <f ca="1" t="shared" si="70"/>
        <v/>
      </c>
      <c r="M121" t="str">
        <f ca="1" t="shared" si="71"/>
        <v/>
      </c>
      <c r="U121" t="str">
        <f ca="1">IF(B121="","",step01标题尺码信息!$S$1)</f>
        <v/>
      </c>
      <c r="V121" t="str">
        <f ca="1" t="shared" si="72"/>
        <v/>
      </c>
      <c r="W121" t="str">
        <f ca="1">IF(B121="","",step01标题尺码信息!$V$1)</f>
        <v/>
      </c>
      <c r="X121" t="str">
        <f ca="1">IF(B121="","",step01标题尺码信息!$V$2)</f>
        <v/>
      </c>
      <c r="Y121" t="str">
        <f ca="1" t="shared" si="73"/>
        <v/>
      </c>
      <c r="Z121" t="str">
        <f ca="1" t="shared" si="74"/>
        <v/>
      </c>
      <c r="AA121" t="str">
        <f ca="1">IF(B121="","",IF(CB121="Parent","",VLOOKUP(B121,step01标题尺码信息!G:P,9,0)))</f>
        <v/>
      </c>
      <c r="AG121" t="str">
        <f ca="1" t="shared" si="88"/>
        <v/>
      </c>
      <c r="AH121" t="str">
        <f ca="1" t="shared" si="89"/>
        <v/>
      </c>
      <c r="AI121" t="str">
        <f ca="1">IF(OR(B121="",VLOOKUP(BH121,step02图片链接!B:E,4,0)=""),"",VLOOKUP(BH121,step02图片链接!B:E,4,0))</f>
        <v/>
      </c>
      <c r="AJ121" t="str">
        <f ca="1">IF(OR(B121="",VLOOKUP(BH121,step02图片链接!B:G,6,0)=""),"",VLOOKUP(BH121,step02图片链接!B:G,6,0))</f>
        <v/>
      </c>
      <c r="AK121" t="str">
        <f ca="1">IF(OR(B121="",VLOOKUP(BH121,step02图片链接!B:H,7,0)=""),"",VLOOKUP(BH121,step02图片链接!B:H,7,0))</f>
        <v/>
      </c>
      <c r="AL121" t="str">
        <f ca="1">IF(OR(B121="",VLOOKUP(BH121,step02图片链接!B:I,8,0)=""),"",VLOOKUP(BH121,step02图片链接!B:I,8,0))</f>
        <v/>
      </c>
      <c r="AM121" t="str">
        <f ca="1">IF(OR(B121="",VLOOKUP(BH121,step02图片链接!B:J,9,0)=""),"",VLOOKUP(BH121,step02图片链接!B:J,9,0))</f>
        <v/>
      </c>
      <c r="AN121" t="str">
        <f ca="1">IF(OR(B121="",VLOOKUP(BH121,step02图片链接!B:K,10,0)=""),"",VLOOKUP(BH121,step02图片链接!B:K,10,0))</f>
        <v/>
      </c>
      <c r="AO121" t="str">
        <f ca="1">IF(OR(B121="",VLOOKUP(BH121,step02图片链接!B:L,11,0)=""),"",VLOOKUP(BH121,step02图片链接!B:L,11,0))</f>
        <v/>
      </c>
      <c r="AP121" t="str">
        <f ca="1">IF(OR(B121="",VLOOKUP(BH121,step02图片链接!B:M,12,0)=""),"",VLOOKUP(BH121,step02图片链接!B:M,12,0))</f>
        <v/>
      </c>
      <c r="AQ121" t="str">
        <f ca="1">IF(OR(B121="",VLOOKUP(BH121,step02图片链接!B:N,13,0)=""),"",VLOOKUP(BH121,step02图片链接!B:N,13,0))</f>
        <v/>
      </c>
      <c r="AS121" t="str">
        <f ca="1" t="shared" si="90"/>
        <v/>
      </c>
      <c r="AT121" t="str">
        <f ca="1" t="shared" si="91"/>
        <v/>
      </c>
      <c r="AU121" t="str">
        <f ca="1" t="shared" si="75"/>
        <v/>
      </c>
      <c r="AV121" t="str">
        <f ca="1">IF(B121="","",step01标题尺码信息!$T$36)</f>
        <v/>
      </c>
      <c r="AZ121" t="str">
        <f ca="1">IF(B121="","",step01标题尺码信息!$S$41)</f>
        <v/>
      </c>
      <c r="BA121" t="str">
        <f ca="1">IF(B121="","",step01标题尺码信息!$S$43)</f>
        <v/>
      </c>
      <c r="BB121" t="str">
        <f ca="1">IF(B121="","",step01标题尺码信息!$S$45)</f>
        <v/>
      </c>
      <c r="BC121" t="str">
        <f ca="1">IF(B121="","",step01标题尺码信息!$S$47)</f>
        <v/>
      </c>
      <c r="BD121" t="str">
        <f ca="1">IF(B121="","",step01标题尺码信息!$S$49)</f>
        <v/>
      </c>
      <c r="BE121" t="str">
        <f ca="1">IF(B121="","",step01标题尺码信息!$S$53)</f>
        <v/>
      </c>
      <c r="BH121" t="str">
        <f ca="1">IF(B121="","",IF(DX121="Parent","",VLOOKUP(B121,step01标题尺码信息!G:P,7,0)))</f>
        <v/>
      </c>
      <c r="BI121" t="str">
        <f ca="1">IF(B121="","",IF(DX121="Parent","",VLOOKUP(B121,step01标题尺码信息!G:P,8,0)))</f>
        <v/>
      </c>
      <c r="BK121" t="str">
        <f ca="1" t="shared" si="76"/>
        <v/>
      </c>
      <c r="BL121" t="str">
        <f ca="1" t="shared" si="77"/>
        <v/>
      </c>
      <c r="BO121" t="str">
        <f ca="1" t="shared" si="78"/>
        <v/>
      </c>
      <c r="BR121" t="str">
        <f ca="1">IF(B121="","",IF(AS121="Parent","",VLOOKUP(B121,step01标题尺码信息!G:P,9,0)))</f>
        <v/>
      </c>
      <c r="CY121" t="str">
        <f ca="1" t="shared" si="79"/>
        <v/>
      </c>
      <c r="DG121" t="str">
        <f ca="1">IF(B121="","",step01标题尺码信息!$T$30)</f>
        <v/>
      </c>
      <c r="DH121" t="str">
        <f ca="1" t="shared" si="80"/>
        <v/>
      </c>
      <c r="DN121" t="str">
        <f ca="1" t="shared" si="81"/>
        <v/>
      </c>
      <c r="DW121" t="str">
        <f ca="1" t="shared" si="82"/>
        <v/>
      </c>
      <c r="ER121" t="str">
        <f ca="1">IF(B121="","",step01标题尺码信息!$T$37)</f>
        <v/>
      </c>
      <c r="ES121" t="str">
        <f ca="1" t="shared" si="83"/>
        <v/>
      </c>
      <c r="HF121" t="str">
        <f ca="1">IF(B121="","",step01标题尺码信息!$S$2)</f>
        <v/>
      </c>
      <c r="HH121" t="str">
        <f ca="1" t="shared" si="84"/>
        <v/>
      </c>
      <c r="HI121" t="str">
        <f ca="1" t="shared" si="85"/>
        <v/>
      </c>
      <c r="HL121" t="str">
        <f ca="1" t="shared" si="86"/>
        <v/>
      </c>
      <c r="IA121" t="str">
        <f ca="1" t="shared" si="87"/>
        <v/>
      </c>
    </row>
    <row r="122" spans="1:235">
      <c r="A122" t="str">
        <f ca="1">IF(B122="","",step01标题尺码信息!$B$3)</f>
        <v/>
      </c>
      <c r="B122" t="str">
        <f ca="1">IF(step01标题尺码信息!G124="","",step01标题尺码信息!G124)</f>
        <v/>
      </c>
      <c r="C122" t="str">
        <f ca="1">IF(B122="","",step01标题尺码信息!$E$3)</f>
        <v/>
      </c>
      <c r="D122" t="str">
        <f ca="1" t="shared" si="69"/>
        <v/>
      </c>
      <c r="E122" t="str">
        <f ca="1">IF(B122="","",VLOOKUP(B122,step01标题尺码信息!G:P,4,0))</f>
        <v/>
      </c>
      <c r="H122" t="str">
        <f ca="1">IF(B122="","",step01标题尺码信息!$R$19)</f>
        <v/>
      </c>
      <c r="I122" t="str">
        <f ca="1" t="shared" si="70"/>
        <v/>
      </c>
      <c r="M122" t="str">
        <f ca="1" t="shared" si="71"/>
        <v/>
      </c>
      <c r="U122" t="str">
        <f ca="1">IF(B122="","",step01标题尺码信息!$S$1)</f>
        <v/>
      </c>
      <c r="V122" t="str">
        <f ca="1" t="shared" si="72"/>
        <v/>
      </c>
      <c r="W122" t="str">
        <f ca="1">IF(B122="","",step01标题尺码信息!$V$1)</f>
        <v/>
      </c>
      <c r="X122" t="str">
        <f ca="1">IF(B122="","",step01标题尺码信息!$V$2)</f>
        <v/>
      </c>
      <c r="Y122" t="str">
        <f ca="1" t="shared" si="73"/>
        <v/>
      </c>
      <c r="Z122" t="str">
        <f ca="1" t="shared" si="74"/>
        <v/>
      </c>
      <c r="AA122" t="str">
        <f ca="1">IF(B122="","",IF(CB122="Parent","",VLOOKUP(B122,step01标题尺码信息!G:P,9,0)))</f>
        <v/>
      </c>
      <c r="AG122" t="str">
        <f ca="1" t="shared" si="88"/>
        <v/>
      </c>
      <c r="AH122" t="str">
        <f ca="1" t="shared" si="89"/>
        <v/>
      </c>
      <c r="AI122" t="str">
        <f ca="1">IF(OR(B122="",VLOOKUP(BH122,step02图片链接!B:E,4,0)=""),"",VLOOKUP(BH122,step02图片链接!B:E,4,0))</f>
        <v/>
      </c>
      <c r="AJ122" t="str">
        <f ca="1">IF(OR(B122="",VLOOKUP(BH122,step02图片链接!B:G,6,0)=""),"",VLOOKUP(BH122,step02图片链接!B:G,6,0))</f>
        <v/>
      </c>
      <c r="AK122" t="str">
        <f ca="1">IF(OR(B122="",VLOOKUP(BH122,step02图片链接!B:H,7,0)=""),"",VLOOKUP(BH122,step02图片链接!B:H,7,0))</f>
        <v/>
      </c>
      <c r="AL122" t="str">
        <f ca="1">IF(OR(B122="",VLOOKUP(BH122,step02图片链接!B:I,8,0)=""),"",VLOOKUP(BH122,step02图片链接!B:I,8,0))</f>
        <v/>
      </c>
      <c r="AM122" t="str">
        <f ca="1">IF(OR(B122="",VLOOKUP(BH122,step02图片链接!B:J,9,0)=""),"",VLOOKUP(BH122,step02图片链接!B:J,9,0))</f>
        <v/>
      </c>
      <c r="AN122" t="str">
        <f ca="1">IF(OR(B122="",VLOOKUP(BH122,step02图片链接!B:K,10,0)=""),"",VLOOKUP(BH122,step02图片链接!B:K,10,0))</f>
        <v/>
      </c>
      <c r="AO122" t="str">
        <f ca="1">IF(OR(B122="",VLOOKUP(BH122,step02图片链接!B:L,11,0)=""),"",VLOOKUP(BH122,step02图片链接!B:L,11,0))</f>
        <v/>
      </c>
      <c r="AP122" t="str">
        <f ca="1">IF(OR(B122="",VLOOKUP(BH122,step02图片链接!B:M,12,0)=""),"",VLOOKUP(BH122,step02图片链接!B:M,12,0))</f>
        <v/>
      </c>
      <c r="AQ122" t="str">
        <f ca="1">IF(OR(B122="",VLOOKUP(BH122,step02图片链接!B:N,13,0)=""),"",VLOOKUP(BH122,step02图片链接!B:N,13,0))</f>
        <v/>
      </c>
      <c r="AS122" t="str">
        <f ca="1" t="shared" si="90"/>
        <v/>
      </c>
      <c r="AT122" t="str">
        <f ca="1" t="shared" si="91"/>
        <v/>
      </c>
      <c r="AU122" t="str">
        <f ca="1" t="shared" si="75"/>
        <v/>
      </c>
      <c r="AV122" t="str">
        <f ca="1">IF(B122="","",step01标题尺码信息!$T$36)</f>
        <v/>
      </c>
      <c r="AZ122" t="str">
        <f ca="1">IF(B122="","",step01标题尺码信息!$S$41)</f>
        <v/>
      </c>
      <c r="BA122" t="str">
        <f ca="1">IF(B122="","",step01标题尺码信息!$S$43)</f>
        <v/>
      </c>
      <c r="BB122" t="str">
        <f ca="1">IF(B122="","",step01标题尺码信息!$S$45)</f>
        <v/>
      </c>
      <c r="BC122" t="str">
        <f ca="1">IF(B122="","",step01标题尺码信息!$S$47)</f>
        <v/>
      </c>
      <c r="BD122" t="str">
        <f ca="1">IF(B122="","",step01标题尺码信息!$S$49)</f>
        <v/>
      </c>
      <c r="BE122" t="str">
        <f ca="1">IF(B122="","",step01标题尺码信息!$S$53)</f>
        <v/>
      </c>
      <c r="BH122" t="str">
        <f ca="1">IF(B122="","",IF(DX122="Parent","",VLOOKUP(B122,step01标题尺码信息!G:P,7,0)))</f>
        <v/>
      </c>
      <c r="BI122" t="str">
        <f ca="1">IF(B122="","",IF(DX122="Parent","",VLOOKUP(B122,step01标题尺码信息!G:P,8,0)))</f>
        <v/>
      </c>
      <c r="BK122" t="str">
        <f ca="1" t="shared" si="76"/>
        <v/>
      </c>
      <c r="BL122" t="str">
        <f ca="1" t="shared" si="77"/>
        <v/>
      </c>
      <c r="BO122" t="str">
        <f ca="1" t="shared" si="78"/>
        <v/>
      </c>
      <c r="BR122" t="str">
        <f ca="1">IF(B122="","",IF(AS122="Parent","",VLOOKUP(B122,step01标题尺码信息!G:P,9,0)))</f>
        <v/>
      </c>
      <c r="CY122" t="str">
        <f ca="1" t="shared" si="79"/>
        <v/>
      </c>
      <c r="DG122" t="str">
        <f ca="1">IF(B122="","",step01标题尺码信息!$T$30)</f>
        <v/>
      </c>
      <c r="DH122" t="str">
        <f ca="1" t="shared" si="80"/>
        <v/>
      </c>
      <c r="DN122" t="str">
        <f ca="1" t="shared" si="81"/>
        <v/>
      </c>
      <c r="DW122" t="str">
        <f ca="1" t="shared" si="82"/>
        <v/>
      </c>
      <c r="ER122" t="str">
        <f ca="1">IF(B122="","",step01标题尺码信息!$T$37)</f>
        <v/>
      </c>
      <c r="ES122" t="str">
        <f ca="1" t="shared" si="83"/>
        <v/>
      </c>
      <c r="HF122" t="str">
        <f ca="1">IF(B122="","",step01标题尺码信息!$S$2)</f>
        <v/>
      </c>
      <c r="HH122" t="str">
        <f ca="1" t="shared" si="84"/>
        <v/>
      </c>
      <c r="HI122" t="str">
        <f ca="1" t="shared" si="85"/>
        <v/>
      </c>
      <c r="HL122" t="str">
        <f ca="1" t="shared" si="86"/>
        <v/>
      </c>
      <c r="IA122" t="str">
        <f ca="1" t="shared" si="87"/>
        <v/>
      </c>
    </row>
    <row r="123" spans="1:235">
      <c r="A123" t="str">
        <f ca="1">IF(B123="","",step01标题尺码信息!$B$3)</f>
        <v/>
      </c>
      <c r="B123" t="str">
        <f ca="1">IF(step01标题尺码信息!G125="","",step01标题尺码信息!G125)</f>
        <v/>
      </c>
      <c r="C123" t="str">
        <f ca="1">IF(B123="","",step01标题尺码信息!$E$3)</f>
        <v/>
      </c>
      <c r="D123" t="str">
        <f ca="1" t="shared" si="69"/>
        <v/>
      </c>
      <c r="E123" t="str">
        <f ca="1">IF(B123="","",VLOOKUP(B123,step01标题尺码信息!G:P,4,0))</f>
        <v/>
      </c>
      <c r="H123" t="str">
        <f ca="1">IF(B123="","",step01标题尺码信息!$R$19)</f>
        <v/>
      </c>
      <c r="I123" t="str">
        <f ca="1" t="shared" si="70"/>
        <v/>
      </c>
      <c r="M123" t="str">
        <f ca="1" t="shared" si="71"/>
        <v/>
      </c>
      <c r="U123" t="str">
        <f ca="1">IF(B123="","",step01标题尺码信息!$S$1)</f>
        <v/>
      </c>
      <c r="V123" t="str">
        <f ca="1" t="shared" si="72"/>
        <v/>
      </c>
      <c r="W123" t="str">
        <f ca="1">IF(B123="","",step01标题尺码信息!$V$1)</f>
        <v/>
      </c>
      <c r="X123" t="str">
        <f ca="1">IF(B123="","",step01标题尺码信息!$V$2)</f>
        <v/>
      </c>
      <c r="Y123" t="str">
        <f ca="1" t="shared" si="73"/>
        <v/>
      </c>
      <c r="Z123" t="str">
        <f ca="1" t="shared" si="74"/>
        <v/>
      </c>
      <c r="AA123" t="str">
        <f ca="1">IF(B123="","",IF(CB123="Parent","",VLOOKUP(B123,step01标题尺码信息!G:P,9,0)))</f>
        <v/>
      </c>
      <c r="AG123" t="str">
        <f ca="1" t="shared" si="88"/>
        <v/>
      </c>
      <c r="AH123" t="str">
        <f ca="1" t="shared" si="89"/>
        <v/>
      </c>
      <c r="AI123" t="str">
        <f ca="1">IF(OR(B123="",VLOOKUP(BH123,step02图片链接!B:E,4,0)=""),"",VLOOKUP(BH123,step02图片链接!B:E,4,0))</f>
        <v/>
      </c>
      <c r="AJ123" t="str">
        <f ca="1">IF(OR(B123="",VLOOKUP(BH123,step02图片链接!B:G,6,0)=""),"",VLOOKUP(BH123,step02图片链接!B:G,6,0))</f>
        <v/>
      </c>
      <c r="AK123" t="str">
        <f ca="1">IF(OR(B123="",VLOOKUP(BH123,step02图片链接!B:H,7,0)=""),"",VLOOKUP(BH123,step02图片链接!B:H,7,0))</f>
        <v/>
      </c>
      <c r="AL123" t="str">
        <f ca="1">IF(OR(B123="",VLOOKUP(BH123,step02图片链接!B:I,8,0)=""),"",VLOOKUP(BH123,step02图片链接!B:I,8,0))</f>
        <v/>
      </c>
      <c r="AM123" t="str">
        <f ca="1">IF(OR(B123="",VLOOKUP(BH123,step02图片链接!B:J,9,0)=""),"",VLOOKUP(BH123,step02图片链接!B:J,9,0))</f>
        <v/>
      </c>
      <c r="AN123" t="str">
        <f ca="1">IF(OR(B123="",VLOOKUP(BH123,step02图片链接!B:K,10,0)=""),"",VLOOKUP(BH123,step02图片链接!B:K,10,0))</f>
        <v/>
      </c>
      <c r="AO123" t="str">
        <f ca="1">IF(OR(B123="",VLOOKUP(BH123,step02图片链接!B:L,11,0)=""),"",VLOOKUP(BH123,step02图片链接!B:L,11,0))</f>
        <v/>
      </c>
      <c r="AP123" t="str">
        <f ca="1">IF(OR(B123="",VLOOKUP(BH123,step02图片链接!B:M,12,0)=""),"",VLOOKUP(BH123,step02图片链接!B:M,12,0))</f>
        <v/>
      </c>
      <c r="AQ123" t="str">
        <f ca="1">IF(OR(B123="",VLOOKUP(BH123,step02图片链接!B:N,13,0)=""),"",VLOOKUP(BH123,step02图片链接!B:N,13,0))</f>
        <v/>
      </c>
      <c r="AS123" t="str">
        <f ca="1" t="shared" si="90"/>
        <v/>
      </c>
      <c r="AT123" t="str">
        <f ca="1" t="shared" si="91"/>
        <v/>
      </c>
      <c r="AU123" t="str">
        <f ca="1" t="shared" si="75"/>
        <v/>
      </c>
      <c r="AV123" t="str">
        <f ca="1">IF(B123="","",step01标题尺码信息!$T$36)</f>
        <v/>
      </c>
      <c r="AZ123" t="str">
        <f ca="1">IF(B123="","",step01标题尺码信息!$S$41)</f>
        <v/>
      </c>
      <c r="BA123" t="str">
        <f ca="1">IF(B123="","",step01标题尺码信息!$S$43)</f>
        <v/>
      </c>
      <c r="BB123" t="str">
        <f ca="1">IF(B123="","",step01标题尺码信息!$S$45)</f>
        <v/>
      </c>
      <c r="BC123" t="str">
        <f ca="1">IF(B123="","",step01标题尺码信息!$S$47)</f>
        <v/>
      </c>
      <c r="BD123" t="str">
        <f ca="1">IF(B123="","",step01标题尺码信息!$S$49)</f>
        <v/>
      </c>
      <c r="BE123" t="str">
        <f ca="1">IF(B123="","",step01标题尺码信息!$S$53)</f>
        <v/>
      </c>
      <c r="BH123" t="str">
        <f ca="1">IF(B123="","",IF(DX123="Parent","",VLOOKUP(B123,step01标题尺码信息!G:P,7,0)))</f>
        <v/>
      </c>
      <c r="BI123" t="str">
        <f ca="1">IF(B123="","",IF(DX123="Parent","",VLOOKUP(B123,step01标题尺码信息!G:P,8,0)))</f>
        <v/>
      </c>
      <c r="BK123" t="str">
        <f ca="1" t="shared" si="76"/>
        <v/>
      </c>
      <c r="BL123" t="str">
        <f ca="1" t="shared" si="77"/>
        <v/>
      </c>
      <c r="BO123" t="str">
        <f ca="1" t="shared" si="78"/>
        <v/>
      </c>
      <c r="BR123" t="str">
        <f ca="1">IF(B123="","",IF(AS123="Parent","",VLOOKUP(B123,step01标题尺码信息!G:P,9,0)))</f>
        <v/>
      </c>
      <c r="CY123" t="str">
        <f ca="1" t="shared" si="79"/>
        <v/>
      </c>
      <c r="DG123" t="str">
        <f ca="1">IF(B123="","",step01标题尺码信息!$T$30)</f>
        <v/>
      </c>
      <c r="DH123" t="str">
        <f ca="1" t="shared" si="80"/>
        <v/>
      </c>
      <c r="DN123" t="str">
        <f ca="1" t="shared" si="81"/>
        <v/>
      </c>
      <c r="DW123" t="str">
        <f ca="1" t="shared" si="82"/>
        <v/>
      </c>
      <c r="ER123" t="str">
        <f ca="1">IF(B123="","",step01标题尺码信息!$T$37)</f>
        <v/>
      </c>
      <c r="ES123" t="str">
        <f ca="1" t="shared" si="83"/>
        <v/>
      </c>
      <c r="HF123" t="str">
        <f ca="1">IF(B123="","",step01标题尺码信息!$S$2)</f>
        <v/>
      </c>
      <c r="HH123" t="str">
        <f ca="1" t="shared" si="84"/>
        <v/>
      </c>
      <c r="HI123" t="str">
        <f ca="1" t="shared" si="85"/>
        <v/>
      </c>
      <c r="HL123" t="str">
        <f ca="1" t="shared" si="86"/>
        <v/>
      </c>
      <c r="IA123" t="str">
        <f ca="1" t="shared" si="87"/>
        <v/>
      </c>
    </row>
    <row r="124" spans="1:235">
      <c r="A124" t="str">
        <f ca="1">IF(B124="","",step01标题尺码信息!$B$3)</f>
        <v/>
      </c>
      <c r="B124" t="str">
        <f ca="1">IF(step01标题尺码信息!G126="","",step01标题尺码信息!G126)</f>
        <v/>
      </c>
      <c r="C124" t="str">
        <f ca="1">IF(B124="","",step01标题尺码信息!$E$3)</f>
        <v/>
      </c>
      <c r="D124" t="str">
        <f ca="1" t="shared" si="69"/>
        <v/>
      </c>
      <c r="E124" t="str">
        <f ca="1">IF(B124="","",VLOOKUP(B124,step01标题尺码信息!G:P,4,0))</f>
        <v/>
      </c>
      <c r="H124" t="str">
        <f ca="1">IF(B124="","",step01标题尺码信息!$R$19)</f>
        <v/>
      </c>
      <c r="I124" t="str">
        <f ca="1" t="shared" si="70"/>
        <v/>
      </c>
      <c r="M124" t="str">
        <f ca="1" t="shared" si="71"/>
        <v/>
      </c>
      <c r="U124" t="str">
        <f ca="1">IF(B124="","",step01标题尺码信息!$S$1)</f>
        <v/>
      </c>
      <c r="V124" t="str">
        <f ca="1" t="shared" si="72"/>
        <v/>
      </c>
      <c r="W124" t="str">
        <f ca="1">IF(B124="","",step01标题尺码信息!$V$1)</f>
        <v/>
      </c>
      <c r="X124" t="str">
        <f ca="1">IF(B124="","",step01标题尺码信息!$V$2)</f>
        <v/>
      </c>
      <c r="Y124" t="str">
        <f ca="1" t="shared" si="73"/>
        <v/>
      </c>
      <c r="Z124" t="str">
        <f ca="1" t="shared" si="74"/>
        <v/>
      </c>
      <c r="AA124" t="str">
        <f ca="1">IF(B124="","",IF(CB124="Parent","",VLOOKUP(B124,step01标题尺码信息!G:P,9,0)))</f>
        <v/>
      </c>
      <c r="AG124" t="str">
        <f ca="1" t="shared" si="88"/>
        <v/>
      </c>
      <c r="AH124" t="str">
        <f ca="1" t="shared" si="89"/>
        <v/>
      </c>
      <c r="AI124" t="str">
        <f ca="1">IF(OR(B124="",VLOOKUP(BH124,step02图片链接!B:E,4,0)=""),"",VLOOKUP(BH124,step02图片链接!B:E,4,0))</f>
        <v/>
      </c>
      <c r="AJ124" t="str">
        <f ca="1">IF(OR(B124="",VLOOKUP(BH124,step02图片链接!B:G,6,0)=""),"",VLOOKUP(BH124,step02图片链接!B:G,6,0))</f>
        <v/>
      </c>
      <c r="AK124" t="str">
        <f ca="1">IF(OR(B124="",VLOOKUP(BH124,step02图片链接!B:H,7,0)=""),"",VLOOKUP(BH124,step02图片链接!B:H,7,0))</f>
        <v/>
      </c>
      <c r="AL124" t="str">
        <f ca="1">IF(OR(B124="",VLOOKUP(BH124,step02图片链接!B:I,8,0)=""),"",VLOOKUP(BH124,step02图片链接!B:I,8,0))</f>
        <v/>
      </c>
      <c r="AM124" t="str">
        <f ca="1">IF(OR(B124="",VLOOKUP(BH124,step02图片链接!B:J,9,0)=""),"",VLOOKUP(BH124,step02图片链接!B:J,9,0))</f>
        <v/>
      </c>
      <c r="AN124" t="str">
        <f ca="1">IF(OR(B124="",VLOOKUP(BH124,step02图片链接!B:K,10,0)=""),"",VLOOKUP(BH124,step02图片链接!B:K,10,0))</f>
        <v/>
      </c>
      <c r="AO124" t="str">
        <f ca="1">IF(OR(B124="",VLOOKUP(BH124,step02图片链接!B:L,11,0)=""),"",VLOOKUP(BH124,step02图片链接!B:L,11,0))</f>
        <v/>
      </c>
      <c r="AP124" t="str">
        <f ca="1">IF(OR(B124="",VLOOKUP(BH124,step02图片链接!B:M,12,0)=""),"",VLOOKUP(BH124,step02图片链接!B:M,12,0))</f>
        <v/>
      </c>
      <c r="AQ124" t="str">
        <f ca="1">IF(OR(B124="",VLOOKUP(BH124,step02图片链接!B:N,13,0)=""),"",VLOOKUP(BH124,step02图片链接!B:N,13,0))</f>
        <v/>
      </c>
      <c r="AS124" t="str">
        <f ca="1" t="shared" si="90"/>
        <v/>
      </c>
      <c r="AT124" t="str">
        <f ca="1" t="shared" si="91"/>
        <v/>
      </c>
      <c r="AU124" t="str">
        <f ca="1" t="shared" si="75"/>
        <v/>
      </c>
      <c r="AV124" t="str">
        <f ca="1">IF(B124="","",step01标题尺码信息!$T$36)</f>
        <v/>
      </c>
      <c r="AZ124" t="str">
        <f ca="1">IF(B124="","",step01标题尺码信息!$S$41)</f>
        <v/>
      </c>
      <c r="BA124" t="str">
        <f ca="1">IF(B124="","",step01标题尺码信息!$S$43)</f>
        <v/>
      </c>
      <c r="BB124" t="str">
        <f ca="1">IF(B124="","",step01标题尺码信息!$S$45)</f>
        <v/>
      </c>
      <c r="BC124" t="str">
        <f ca="1">IF(B124="","",step01标题尺码信息!$S$47)</f>
        <v/>
      </c>
      <c r="BD124" t="str">
        <f ca="1">IF(B124="","",step01标题尺码信息!$S$49)</f>
        <v/>
      </c>
      <c r="BE124" t="str">
        <f ca="1">IF(B124="","",step01标题尺码信息!$S$53)</f>
        <v/>
      </c>
      <c r="BH124" t="str">
        <f ca="1">IF(B124="","",IF(DX124="Parent","",VLOOKUP(B124,step01标题尺码信息!G:P,7,0)))</f>
        <v/>
      </c>
      <c r="BI124" t="str">
        <f ca="1">IF(B124="","",IF(DX124="Parent","",VLOOKUP(B124,step01标题尺码信息!G:P,8,0)))</f>
        <v/>
      </c>
      <c r="BK124" t="str">
        <f ca="1" t="shared" si="76"/>
        <v/>
      </c>
      <c r="BL124" t="str">
        <f ca="1" t="shared" si="77"/>
        <v/>
      </c>
      <c r="BO124" t="str">
        <f ca="1" t="shared" si="78"/>
        <v/>
      </c>
      <c r="BR124" t="str">
        <f ca="1">IF(B124="","",IF(AS124="Parent","",VLOOKUP(B124,step01标题尺码信息!G:P,9,0)))</f>
        <v/>
      </c>
      <c r="CY124" t="str">
        <f ca="1" t="shared" si="79"/>
        <v/>
      </c>
      <c r="DG124" t="str">
        <f ca="1">IF(B124="","",step01标题尺码信息!$T$30)</f>
        <v/>
      </c>
      <c r="DH124" t="str">
        <f ca="1" t="shared" si="80"/>
        <v/>
      </c>
      <c r="DN124" t="str">
        <f ca="1" t="shared" si="81"/>
        <v/>
      </c>
      <c r="DW124" t="str">
        <f ca="1" t="shared" si="82"/>
        <v/>
      </c>
      <c r="ER124" t="str">
        <f ca="1">IF(B124="","",step01标题尺码信息!$T$37)</f>
        <v/>
      </c>
      <c r="ES124" t="str">
        <f ca="1" t="shared" si="83"/>
        <v/>
      </c>
      <c r="HF124" t="str">
        <f ca="1">IF(B124="","",step01标题尺码信息!$S$2)</f>
        <v/>
      </c>
      <c r="HH124" t="str">
        <f ca="1" t="shared" si="84"/>
        <v/>
      </c>
      <c r="HI124" t="str">
        <f ca="1" t="shared" si="85"/>
        <v/>
      </c>
      <c r="HL124" t="str">
        <f ca="1" t="shared" si="86"/>
        <v/>
      </c>
      <c r="IA124" t="str">
        <f ca="1" t="shared" si="87"/>
        <v/>
      </c>
    </row>
    <row r="125" spans="1:235">
      <c r="A125" t="str">
        <f ca="1">IF(B125="","",step01标题尺码信息!$B$3)</f>
        <v/>
      </c>
      <c r="B125" t="str">
        <f ca="1">IF(step01标题尺码信息!G127="","",step01标题尺码信息!G127)</f>
        <v/>
      </c>
      <c r="C125" t="str">
        <f ca="1">IF(B125="","",step01标题尺码信息!$E$3)</f>
        <v/>
      </c>
      <c r="D125" t="str">
        <f ca="1" t="shared" si="69"/>
        <v/>
      </c>
      <c r="E125" t="str">
        <f ca="1">IF(B125="","",VLOOKUP(B125,step01标题尺码信息!G:P,4,0))</f>
        <v/>
      </c>
      <c r="H125" t="str">
        <f ca="1">IF(B125="","",step01标题尺码信息!$R$19)</f>
        <v/>
      </c>
      <c r="I125" t="str">
        <f ca="1" t="shared" si="70"/>
        <v/>
      </c>
      <c r="M125" t="str">
        <f ca="1" t="shared" si="71"/>
        <v/>
      </c>
      <c r="U125" t="str">
        <f ca="1">IF(B125="","",step01标题尺码信息!$S$1)</f>
        <v/>
      </c>
      <c r="V125" t="str">
        <f ca="1" t="shared" si="72"/>
        <v/>
      </c>
      <c r="W125" t="str">
        <f ca="1">IF(B125="","",step01标题尺码信息!$V$1)</f>
        <v/>
      </c>
      <c r="X125" t="str">
        <f ca="1">IF(B125="","",step01标题尺码信息!$V$2)</f>
        <v/>
      </c>
      <c r="Y125" t="str">
        <f ca="1" t="shared" si="73"/>
        <v/>
      </c>
      <c r="Z125" t="str">
        <f ca="1" t="shared" si="74"/>
        <v/>
      </c>
      <c r="AA125" t="str">
        <f ca="1">IF(B125="","",IF(CB125="Parent","",VLOOKUP(B125,step01标题尺码信息!G:P,9,0)))</f>
        <v/>
      </c>
      <c r="AG125" t="str">
        <f ca="1" t="shared" si="88"/>
        <v/>
      </c>
      <c r="AH125" t="str">
        <f ca="1" t="shared" si="89"/>
        <v/>
      </c>
      <c r="AI125" t="str">
        <f ca="1">IF(OR(B125="",VLOOKUP(BH125,step02图片链接!B:E,4,0)=""),"",VLOOKUP(BH125,step02图片链接!B:E,4,0))</f>
        <v/>
      </c>
      <c r="AJ125" t="str">
        <f ca="1">IF(OR(B125="",VLOOKUP(BH125,step02图片链接!B:G,6,0)=""),"",VLOOKUP(BH125,step02图片链接!B:G,6,0))</f>
        <v/>
      </c>
      <c r="AK125" t="str">
        <f ca="1">IF(OR(B125="",VLOOKUP(BH125,step02图片链接!B:H,7,0)=""),"",VLOOKUP(BH125,step02图片链接!B:H,7,0))</f>
        <v/>
      </c>
      <c r="AL125" t="str">
        <f ca="1">IF(OR(B125="",VLOOKUP(BH125,step02图片链接!B:I,8,0)=""),"",VLOOKUP(BH125,step02图片链接!B:I,8,0))</f>
        <v/>
      </c>
      <c r="AM125" t="str">
        <f ca="1">IF(OR(B125="",VLOOKUP(BH125,step02图片链接!B:J,9,0)=""),"",VLOOKUP(BH125,step02图片链接!B:J,9,0))</f>
        <v/>
      </c>
      <c r="AN125" t="str">
        <f ca="1">IF(OR(B125="",VLOOKUP(BH125,step02图片链接!B:K,10,0)=""),"",VLOOKUP(BH125,step02图片链接!B:K,10,0))</f>
        <v/>
      </c>
      <c r="AO125" t="str">
        <f ca="1">IF(OR(B125="",VLOOKUP(BH125,step02图片链接!B:L,11,0)=""),"",VLOOKUP(BH125,step02图片链接!B:L,11,0))</f>
        <v/>
      </c>
      <c r="AP125" t="str">
        <f ca="1">IF(OR(B125="",VLOOKUP(BH125,step02图片链接!B:M,12,0)=""),"",VLOOKUP(BH125,step02图片链接!B:M,12,0))</f>
        <v/>
      </c>
      <c r="AQ125" t="str">
        <f ca="1">IF(OR(B125="",VLOOKUP(BH125,step02图片链接!B:N,13,0)=""),"",VLOOKUP(BH125,step02图片链接!B:N,13,0))</f>
        <v/>
      </c>
      <c r="AS125" t="str">
        <f ca="1" t="shared" si="90"/>
        <v/>
      </c>
      <c r="AT125" t="str">
        <f ca="1" t="shared" si="91"/>
        <v/>
      </c>
      <c r="AU125" t="str">
        <f ca="1" t="shared" si="75"/>
        <v/>
      </c>
      <c r="AV125" t="str">
        <f ca="1">IF(B125="","",step01标题尺码信息!$T$36)</f>
        <v/>
      </c>
      <c r="AZ125" t="str">
        <f ca="1">IF(B125="","",step01标题尺码信息!$S$41)</f>
        <v/>
      </c>
      <c r="BA125" t="str">
        <f ca="1">IF(B125="","",step01标题尺码信息!$S$43)</f>
        <v/>
      </c>
      <c r="BB125" t="str">
        <f ca="1">IF(B125="","",step01标题尺码信息!$S$45)</f>
        <v/>
      </c>
      <c r="BC125" t="str">
        <f ca="1">IF(B125="","",step01标题尺码信息!$S$47)</f>
        <v/>
      </c>
      <c r="BD125" t="str">
        <f ca="1">IF(B125="","",step01标题尺码信息!$S$49)</f>
        <v/>
      </c>
      <c r="BE125" t="str">
        <f ca="1">IF(B125="","",step01标题尺码信息!$S$53)</f>
        <v/>
      </c>
      <c r="BH125" t="str">
        <f ca="1">IF(B125="","",IF(DX125="Parent","",VLOOKUP(B125,step01标题尺码信息!G:P,7,0)))</f>
        <v/>
      </c>
      <c r="BI125" t="str">
        <f ca="1">IF(B125="","",IF(DX125="Parent","",VLOOKUP(B125,step01标题尺码信息!G:P,8,0)))</f>
        <v/>
      </c>
      <c r="BK125" t="str">
        <f ca="1" t="shared" si="76"/>
        <v/>
      </c>
      <c r="BL125" t="str">
        <f ca="1" t="shared" si="77"/>
        <v/>
      </c>
      <c r="BO125" t="str">
        <f ca="1" t="shared" si="78"/>
        <v/>
      </c>
      <c r="BR125" t="str">
        <f ca="1">IF(B125="","",IF(AS125="Parent","",VLOOKUP(B125,step01标题尺码信息!G:P,9,0)))</f>
        <v/>
      </c>
      <c r="CY125" t="str">
        <f ca="1" t="shared" si="79"/>
        <v/>
      </c>
      <c r="DG125" t="str">
        <f ca="1">IF(B125="","",step01标题尺码信息!$T$30)</f>
        <v/>
      </c>
      <c r="DH125" t="str">
        <f ca="1" t="shared" si="80"/>
        <v/>
      </c>
      <c r="DN125" t="str">
        <f ca="1" t="shared" si="81"/>
        <v/>
      </c>
      <c r="DW125" t="str">
        <f ca="1" t="shared" si="82"/>
        <v/>
      </c>
      <c r="ER125" t="str">
        <f ca="1">IF(B125="","",step01标题尺码信息!$T$37)</f>
        <v/>
      </c>
      <c r="ES125" t="str">
        <f ca="1" t="shared" si="83"/>
        <v/>
      </c>
      <c r="HF125" t="str">
        <f ca="1">IF(B125="","",step01标题尺码信息!$S$2)</f>
        <v/>
      </c>
      <c r="HH125" t="str">
        <f ca="1" t="shared" si="84"/>
        <v/>
      </c>
      <c r="HI125" t="str">
        <f ca="1" t="shared" si="85"/>
        <v/>
      </c>
      <c r="HL125" t="str">
        <f ca="1" t="shared" si="86"/>
        <v/>
      </c>
      <c r="IA125" t="str">
        <f ca="1" t="shared" si="87"/>
        <v/>
      </c>
    </row>
    <row r="126" spans="1:235">
      <c r="A126" t="str">
        <f ca="1">IF(B126="","",step01标题尺码信息!$B$3)</f>
        <v/>
      </c>
      <c r="B126" t="str">
        <f ca="1">IF(step01标题尺码信息!G128="","",step01标题尺码信息!G128)</f>
        <v/>
      </c>
      <c r="C126" t="str">
        <f ca="1">IF(B126="","",step01标题尺码信息!$E$3)</f>
        <v/>
      </c>
      <c r="D126" t="str">
        <f ca="1" t="shared" si="69"/>
        <v/>
      </c>
      <c r="E126" t="str">
        <f ca="1">IF(B126="","",VLOOKUP(B126,step01标题尺码信息!G:P,4,0))</f>
        <v/>
      </c>
      <c r="H126" t="str">
        <f ca="1">IF(B126="","",step01标题尺码信息!$R$19)</f>
        <v/>
      </c>
      <c r="I126" t="str">
        <f ca="1" t="shared" si="70"/>
        <v/>
      </c>
      <c r="M126" t="str">
        <f ca="1" t="shared" si="71"/>
        <v/>
      </c>
      <c r="U126" t="str">
        <f ca="1">IF(B126="","",step01标题尺码信息!$S$1)</f>
        <v/>
      </c>
      <c r="V126" t="str">
        <f ca="1" t="shared" si="72"/>
        <v/>
      </c>
      <c r="W126" t="str">
        <f ca="1">IF(B126="","",step01标题尺码信息!$V$1)</f>
        <v/>
      </c>
      <c r="X126" t="str">
        <f ca="1">IF(B126="","",step01标题尺码信息!$V$2)</f>
        <v/>
      </c>
      <c r="Y126" t="str">
        <f ca="1" t="shared" si="73"/>
        <v/>
      </c>
      <c r="Z126" t="str">
        <f ca="1" t="shared" si="74"/>
        <v/>
      </c>
      <c r="AA126" t="str">
        <f ca="1">IF(B126="","",IF(CB126="Parent","",VLOOKUP(B126,step01标题尺码信息!G:P,9,0)))</f>
        <v/>
      </c>
      <c r="AG126" t="str">
        <f ca="1" t="shared" si="88"/>
        <v/>
      </c>
      <c r="AH126" t="str">
        <f ca="1" t="shared" si="89"/>
        <v/>
      </c>
      <c r="AI126" t="str">
        <f ca="1">IF(OR(B126="",VLOOKUP(BH126,step02图片链接!B:E,4,0)=""),"",VLOOKUP(BH126,step02图片链接!B:E,4,0))</f>
        <v/>
      </c>
      <c r="AJ126" t="str">
        <f ca="1">IF(OR(B126="",VLOOKUP(BH126,step02图片链接!B:G,6,0)=""),"",VLOOKUP(BH126,step02图片链接!B:G,6,0))</f>
        <v/>
      </c>
      <c r="AK126" t="str">
        <f ca="1">IF(OR(B126="",VLOOKUP(BH126,step02图片链接!B:H,7,0)=""),"",VLOOKUP(BH126,step02图片链接!B:H,7,0))</f>
        <v/>
      </c>
      <c r="AL126" t="str">
        <f ca="1">IF(OR(B126="",VLOOKUP(BH126,step02图片链接!B:I,8,0)=""),"",VLOOKUP(BH126,step02图片链接!B:I,8,0))</f>
        <v/>
      </c>
      <c r="AM126" t="str">
        <f ca="1">IF(OR(B126="",VLOOKUP(BH126,step02图片链接!B:J,9,0)=""),"",VLOOKUP(BH126,step02图片链接!B:J,9,0))</f>
        <v/>
      </c>
      <c r="AN126" t="str">
        <f ca="1">IF(OR(B126="",VLOOKUP(BH126,step02图片链接!B:K,10,0)=""),"",VLOOKUP(BH126,step02图片链接!B:K,10,0))</f>
        <v/>
      </c>
      <c r="AO126" t="str">
        <f ca="1">IF(OR(B126="",VLOOKUP(BH126,step02图片链接!B:L,11,0)=""),"",VLOOKUP(BH126,step02图片链接!B:L,11,0))</f>
        <v/>
      </c>
      <c r="AP126" t="str">
        <f ca="1">IF(OR(B126="",VLOOKUP(BH126,step02图片链接!B:M,12,0)=""),"",VLOOKUP(BH126,step02图片链接!B:M,12,0))</f>
        <v/>
      </c>
      <c r="AQ126" t="str">
        <f ca="1">IF(OR(B126="",VLOOKUP(BH126,step02图片链接!B:N,13,0)=""),"",VLOOKUP(BH126,step02图片链接!B:N,13,0))</f>
        <v/>
      </c>
      <c r="AS126" t="str">
        <f ca="1" t="shared" si="90"/>
        <v/>
      </c>
      <c r="AT126" t="str">
        <f ca="1" t="shared" si="91"/>
        <v/>
      </c>
      <c r="AU126" t="str">
        <f ca="1" t="shared" si="75"/>
        <v/>
      </c>
      <c r="AV126" t="str">
        <f ca="1">IF(B126="","",step01标题尺码信息!$T$36)</f>
        <v/>
      </c>
      <c r="AZ126" t="str">
        <f ca="1">IF(B126="","",step01标题尺码信息!$S$41)</f>
        <v/>
      </c>
      <c r="BA126" t="str">
        <f ca="1">IF(B126="","",step01标题尺码信息!$S$43)</f>
        <v/>
      </c>
      <c r="BB126" t="str">
        <f ca="1">IF(B126="","",step01标题尺码信息!$S$45)</f>
        <v/>
      </c>
      <c r="BC126" t="str">
        <f ca="1">IF(B126="","",step01标题尺码信息!$S$47)</f>
        <v/>
      </c>
      <c r="BD126" t="str">
        <f ca="1">IF(B126="","",step01标题尺码信息!$S$49)</f>
        <v/>
      </c>
      <c r="BE126" t="str">
        <f ca="1">IF(B126="","",step01标题尺码信息!$S$53)</f>
        <v/>
      </c>
      <c r="BH126" t="str">
        <f ca="1">IF(B126="","",IF(DX126="Parent","",VLOOKUP(B126,step01标题尺码信息!G:P,7,0)))</f>
        <v/>
      </c>
      <c r="BI126" t="str">
        <f ca="1">IF(B126="","",IF(DX126="Parent","",VLOOKUP(B126,step01标题尺码信息!G:P,8,0)))</f>
        <v/>
      </c>
      <c r="BK126" t="str">
        <f ca="1" t="shared" si="76"/>
        <v/>
      </c>
      <c r="BL126" t="str">
        <f ca="1" t="shared" si="77"/>
        <v/>
      </c>
      <c r="BO126" t="str">
        <f ca="1" t="shared" si="78"/>
        <v/>
      </c>
      <c r="BR126" t="str">
        <f ca="1">IF(B126="","",IF(AS126="Parent","",VLOOKUP(B126,step01标题尺码信息!G:P,9,0)))</f>
        <v/>
      </c>
      <c r="CY126" t="str">
        <f ca="1" t="shared" si="79"/>
        <v/>
      </c>
      <c r="DG126" t="str">
        <f ca="1">IF(B126="","",step01标题尺码信息!$T$30)</f>
        <v/>
      </c>
      <c r="DH126" t="str">
        <f ca="1" t="shared" si="80"/>
        <v/>
      </c>
      <c r="DN126" t="str">
        <f ca="1" t="shared" si="81"/>
        <v/>
      </c>
      <c r="DW126" t="str">
        <f ca="1" t="shared" si="82"/>
        <v/>
      </c>
      <c r="ER126" t="str">
        <f ca="1">IF(B126="","",step01标题尺码信息!$T$37)</f>
        <v/>
      </c>
      <c r="ES126" t="str">
        <f ca="1" t="shared" si="83"/>
        <v/>
      </c>
      <c r="HF126" t="str">
        <f ca="1">IF(B126="","",step01标题尺码信息!$S$2)</f>
        <v/>
      </c>
      <c r="HH126" t="str">
        <f ca="1" t="shared" si="84"/>
        <v/>
      </c>
      <c r="HI126" t="str">
        <f ca="1" t="shared" si="85"/>
        <v/>
      </c>
      <c r="HL126" t="str">
        <f ca="1" t="shared" si="86"/>
        <v/>
      </c>
      <c r="IA126" t="str">
        <f ca="1" t="shared" si="87"/>
        <v/>
      </c>
    </row>
    <row r="127" spans="1:235">
      <c r="A127" t="str">
        <f ca="1">IF(B127="","",step01标题尺码信息!$B$3)</f>
        <v/>
      </c>
      <c r="B127" t="str">
        <f ca="1">IF(step01标题尺码信息!G129="","",step01标题尺码信息!G129)</f>
        <v/>
      </c>
      <c r="C127" t="str">
        <f ca="1">IF(B127="","",step01标题尺码信息!$E$3)</f>
        <v/>
      </c>
      <c r="D127" t="str">
        <f ca="1" t="shared" si="69"/>
        <v/>
      </c>
      <c r="E127" t="str">
        <f ca="1">IF(B127="","",VLOOKUP(B127,step01标题尺码信息!G:P,4,0))</f>
        <v/>
      </c>
      <c r="H127" t="str">
        <f ca="1">IF(B127="","",step01标题尺码信息!$R$19)</f>
        <v/>
      </c>
      <c r="I127" t="str">
        <f ca="1" t="shared" si="70"/>
        <v/>
      </c>
      <c r="M127" t="str">
        <f ca="1" t="shared" si="71"/>
        <v/>
      </c>
      <c r="U127" t="str">
        <f ca="1">IF(B127="","",step01标题尺码信息!$S$1)</f>
        <v/>
      </c>
      <c r="V127" t="str">
        <f ca="1" t="shared" si="72"/>
        <v/>
      </c>
      <c r="W127" t="str">
        <f ca="1">IF(B127="","",step01标题尺码信息!$V$1)</f>
        <v/>
      </c>
      <c r="X127" t="str">
        <f ca="1">IF(B127="","",step01标题尺码信息!$V$2)</f>
        <v/>
      </c>
      <c r="Y127" t="str">
        <f ca="1" t="shared" si="73"/>
        <v/>
      </c>
      <c r="Z127" t="str">
        <f ca="1" t="shared" si="74"/>
        <v/>
      </c>
      <c r="AA127" t="str">
        <f ca="1">IF(B127="","",IF(CB127="Parent","",VLOOKUP(B127,step01标题尺码信息!G:P,9,0)))</f>
        <v/>
      </c>
      <c r="AG127" t="str">
        <f ca="1" t="shared" si="88"/>
        <v/>
      </c>
      <c r="AH127" t="str">
        <f ca="1" t="shared" si="89"/>
        <v/>
      </c>
      <c r="AI127" t="str">
        <f ca="1">IF(OR(B127="",VLOOKUP(BH127,step02图片链接!B:E,4,0)=""),"",VLOOKUP(BH127,step02图片链接!B:E,4,0))</f>
        <v/>
      </c>
      <c r="AJ127" t="str">
        <f ca="1">IF(OR(B127="",VLOOKUP(BH127,step02图片链接!B:G,6,0)=""),"",VLOOKUP(BH127,step02图片链接!B:G,6,0))</f>
        <v/>
      </c>
      <c r="AK127" t="str">
        <f ca="1">IF(OR(B127="",VLOOKUP(BH127,step02图片链接!B:H,7,0)=""),"",VLOOKUP(BH127,step02图片链接!B:H,7,0))</f>
        <v/>
      </c>
      <c r="AL127" t="str">
        <f ca="1">IF(OR(B127="",VLOOKUP(BH127,step02图片链接!B:I,8,0)=""),"",VLOOKUP(BH127,step02图片链接!B:I,8,0))</f>
        <v/>
      </c>
      <c r="AM127" t="str">
        <f ca="1">IF(OR(B127="",VLOOKUP(BH127,step02图片链接!B:J,9,0)=""),"",VLOOKUP(BH127,step02图片链接!B:J,9,0))</f>
        <v/>
      </c>
      <c r="AN127" t="str">
        <f ca="1">IF(OR(B127="",VLOOKUP(BH127,step02图片链接!B:K,10,0)=""),"",VLOOKUP(BH127,step02图片链接!B:K,10,0))</f>
        <v/>
      </c>
      <c r="AO127" t="str">
        <f ca="1">IF(OR(B127="",VLOOKUP(BH127,step02图片链接!B:L,11,0)=""),"",VLOOKUP(BH127,step02图片链接!B:L,11,0))</f>
        <v/>
      </c>
      <c r="AP127" t="str">
        <f ca="1">IF(OR(B127="",VLOOKUP(BH127,step02图片链接!B:M,12,0)=""),"",VLOOKUP(BH127,step02图片链接!B:M,12,0))</f>
        <v/>
      </c>
      <c r="AQ127" t="str">
        <f ca="1">IF(OR(B127="",VLOOKUP(BH127,step02图片链接!B:N,13,0)=""),"",VLOOKUP(BH127,step02图片链接!B:N,13,0))</f>
        <v/>
      </c>
      <c r="AS127" t="str">
        <f ca="1" t="shared" si="90"/>
        <v/>
      </c>
      <c r="AT127" t="str">
        <f ca="1" t="shared" si="91"/>
        <v/>
      </c>
      <c r="AU127" t="str">
        <f ca="1" t="shared" si="75"/>
        <v/>
      </c>
      <c r="AV127" t="str">
        <f ca="1">IF(B127="","",step01标题尺码信息!$T$36)</f>
        <v/>
      </c>
      <c r="AZ127" t="str">
        <f ca="1">IF(B127="","",step01标题尺码信息!$S$41)</f>
        <v/>
      </c>
      <c r="BA127" t="str">
        <f ca="1">IF(B127="","",step01标题尺码信息!$S$43)</f>
        <v/>
      </c>
      <c r="BB127" t="str">
        <f ca="1">IF(B127="","",step01标题尺码信息!$S$45)</f>
        <v/>
      </c>
      <c r="BC127" t="str">
        <f ca="1">IF(B127="","",step01标题尺码信息!$S$47)</f>
        <v/>
      </c>
      <c r="BD127" t="str">
        <f ca="1">IF(B127="","",step01标题尺码信息!$S$49)</f>
        <v/>
      </c>
      <c r="BE127" t="str">
        <f ca="1">IF(B127="","",step01标题尺码信息!$S$53)</f>
        <v/>
      </c>
      <c r="BH127" t="str">
        <f ca="1">IF(B127="","",IF(DX127="Parent","",VLOOKUP(B127,step01标题尺码信息!G:P,7,0)))</f>
        <v/>
      </c>
      <c r="BI127" t="str">
        <f ca="1">IF(B127="","",IF(DX127="Parent","",VLOOKUP(B127,step01标题尺码信息!G:P,8,0)))</f>
        <v/>
      </c>
      <c r="BK127" t="str">
        <f ca="1" t="shared" si="76"/>
        <v/>
      </c>
      <c r="BL127" t="str">
        <f ca="1" t="shared" si="77"/>
        <v/>
      </c>
      <c r="BO127" t="str">
        <f ca="1" t="shared" si="78"/>
        <v/>
      </c>
      <c r="BR127" t="str">
        <f ca="1">IF(B127="","",IF(AS127="Parent","",VLOOKUP(B127,step01标题尺码信息!G:P,9,0)))</f>
        <v/>
      </c>
      <c r="CY127" t="str">
        <f ca="1" t="shared" si="79"/>
        <v/>
      </c>
      <c r="DG127" t="str">
        <f ca="1">IF(B127="","",step01标题尺码信息!$T$30)</f>
        <v/>
      </c>
      <c r="DH127" t="str">
        <f ca="1" t="shared" si="80"/>
        <v/>
      </c>
      <c r="DN127" t="str">
        <f ca="1" t="shared" si="81"/>
        <v/>
      </c>
      <c r="DW127" t="str">
        <f ca="1" t="shared" si="82"/>
        <v/>
      </c>
      <c r="ER127" t="str">
        <f ca="1">IF(B127="","",step01标题尺码信息!$T$37)</f>
        <v/>
      </c>
      <c r="ES127" t="str">
        <f ca="1" t="shared" si="83"/>
        <v/>
      </c>
      <c r="HF127" t="str">
        <f ca="1">IF(B127="","",step01标题尺码信息!$S$2)</f>
        <v/>
      </c>
      <c r="HH127" t="str">
        <f ca="1" t="shared" si="84"/>
        <v/>
      </c>
      <c r="HI127" t="str">
        <f ca="1" t="shared" si="85"/>
        <v/>
      </c>
      <c r="HL127" t="str">
        <f ca="1" t="shared" si="86"/>
        <v/>
      </c>
      <c r="IA127" t="str">
        <f ca="1" t="shared" si="87"/>
        <v/>
      </c>
    </row>
    <row r="128" spans="1:235">
      <c r="A128" t="str">
        <f ca="1">IF(B128="","",step01标题尺码信息!$B$3)</f>
        <v/>
      </c>
      <c r="B128" t="str">
        <f ca="1">IF(step01标题尺码信息!G130="","",step01标题尺码信息!G130)</f>
        <v/>
      </c>
      <c r="C128" t="str">
        <f ca="1">IF(B128="","",step01标题尺码信息!$E$3)</f>
        <v/>
      </c>
      <c r="D128" t="str">
        <f ca="1" t="shared" si="69"/>
        <v/>
      </c>
      <c r="E128" t="str">
        <f ca="1">IF(B128="","",VLOOKUP(B128,step01标题尺码信息!G:P,4,0))</f>
        <v/>
      </c>
      <c r="H128" t="str">
        <f ca="1">IF(B128="","",step01标题尺码信息!$R$19)</f>
        <v/>
      </c>
      <c r="I128" t="str">
        <f ca="1" t="shared" si="70"/>
        <v/>
      </c>
      <c r="M128" t="str">
        <f ca="1" t="shared" si="71"/>
        <v/>
      </c>
      <c r="U128" t="str">
        <f ca="1">IF(B128="","",step01标题尺码信息!$S$1)</f>
        <v/>
      </c>
      <c r="V128" t="str">
        <f ca="1" t="shared" si="72"/>
        <v/>
      </c>
      <c r="W128" t="str">
        <f ca="1">IF(B128="","",step01标题尺码信息!$V$1)</f>
        <v/>
      </c>
      <c r="X128" t="str">
        <f ca="1">IF(B128="","",step01标题尺码信息!$V$2)</f>
        <v/>
      </c>
      <c r="Y128" t="str">
        <f ca="1" t="shared" si="73"/>
        <v/>
      </c>
      <c r="Z128" t="str">
        <f ca="1" t="shared" si="74"/>
        <v/>
      </c>
      <c r="AA128" t="str">
        <f ca="1">IF(B128="","",IF(CB128="Parent","",VLOOKUP(B128,step01标题尺码信息!G:P,9,0)))</f>
        <v/>
      </c>
      <c r="AG128" t="str">
        <f ca="1" t="shared" si="88"/>
        <v/>
      </c>
      <c r="AH128" t="str">
        <f ca="1" t="shared" si="89"/>
        <v/>
      </c>
      <c r="AI128" t="str">
        <f ca="1">IF(OR(B128="",VLOOKUP(BH128,step02图片链接!B:E,4,0)=""),"",VLOOKUP(BH128,step02图片链接!B:E,4,0))</f>
        <v/>
      </c>
      <c r="AJ128" t="str">
        <f ca="1">IF(OR(B128="",VLOOKUP(BH128,step02图片链接!B:G,6,0)=""),"",VLOOKUP(BH128,step02图片链接!B:G,6,0))</f>
        <v/>
      </c>
      <c r="AK128" t="str">
        <f ca="1">IF(OR(B128="",VLOOKUP(BH128,step02图片链接!B:H,7,0)=""),"",VLOOKUP(BH128,step02图片链接!B:H,7,0))</f>
        <v/>
      </c>
      <c r="AL128" t="str">
        <f ca="1">IF(OR(B128="",VLOOKUP(BH128,step02图片链接!B:I,8,0)=""),"",VLOOKUP(BH128,step02图片链接!B:I,8,0))</f>
        <v/>
      </c>
      <c r="AM128" t="str">
        <f ca="1">IF(OR(B128="",VLOOKUP(BH128,step02图片链接!B:J,9,0)=""),"",VLOOKUP(BH128,step02图片链接!B:J,9,0))</f>
        <v/>
      </c>
      <c r="AN128" t="str">
        <f ca="1">IF(OR(B128="",VLOOKUP(BH128,step02图片链接!B:K,10,0)=""),"",VLOOKUP(BH128,step02图片链接!B:K,10,0))</f>
        <v/>
      </c>
      <c r="AO128" t="str">
        <f ca="1">IF(OR(B128="",VLOOKUP(BH128,step02图片链接!B:L,11,0)=""),"",VLOOKUP(BH128,step02图片链接!B:L,11,0))</f>
        <v/>
      </c>
      <c r="AP128" t="str">
        <f ca="1">IF(OR(B128="",VLOOKUP(BH128,step02图片链接!B:M,12,0)=""),"",VLOOKUP(BH128,step02图片链接!B:M,12,0))</f>
        <v/>
      </c>
      <c r="AQ128" t="str">
        <f ca="1">IF(OR(B128="",VLOOKUP(BH128,step02图片链接!B:N,13,0)=""),"",VLOOKUP(BH128,step02图片链接!B:N,13,0))</f>
        <v/>
      </c>
      <c r="AS128" t="str">
        <f ca="1" t="shared" si="90"/>
        <v/>
      </c>
      <c r="AT128" t="str">
        <f ca="1" t="shared" si="91"/>
        <v/>
      </c>
      <c r="AU128" t="str">
        <f ca="1" t="shared" si="75"/>
        <v/>
      </c>
      <c r="AV128" t="str">
        <f ca="1">IF(B128="","",step01标题尺码信息!$T$36)</f>
        <v/>
      </c>
      <c r="AZ128" t="str">
        <f ca="1">IF(B128="","",step01标题尺码信息!$S$41)</f>
        <v/>
      </c>
      <c r="BA128" t="str">
        <f ca="1">IF(B128="","",step01标题尺码信息!$S$43)</f>
        <v/>
      </c>
      <c r="BB128" t="str">
        <f ca="1">IF(B128="","",step01标题尺码信息!$S$45)</f>
        <v/>
      </c>
      <c r="BC128" t="str">
        <f ca="1">IF(B128="","",step01标题尺码信息!$S$47)</f>
        <v/>
      </c>
      <c r="BD128" t="str">
        <f ca="1">IF(B128="","",step01标题尺码信息!$S$49)</f>
        <v/>
      </c>
      <c r="BE128" t="str">
        <f ca="1">IF(B128="","",step01标题尺码信息!$S$53)</f>
        <v/>
      </c>
      <c r="BH128" t="str">
        <f ca="1">IF(B128="","",IF(DX128="Parent","",VLOOKUP(B128,step01标题尺码信息!G:P,7,0)))</f>
        <v/>
      </c>
      <c r="BI128" t="str">
        <f ca="1">IF(B128="","",IF(DX128="Parent","",VLOOKUP(B128,step01标题尺码信息!G:P,8,0)))</f>
        <v/>
      </c>
      <c r="BK128" t="str">
        <f ca="1" t="shared" si="76"/>
        <v/>
      </c>
      <c r="BL128" t="str">
        <f ca="1" t="shared" si="77"/>
        <v/>
      </c>
      <c r="BO128" t="str">
        <f ca="1" t="shared" si="78"/>
        <v/>
      </c>
      <c r="BR128" t="str">
        <f ca="1">IF(B128="","",IF(AS128="Parent","",VLOOKUP(B128,step01标题尺码信息!G:P,9,0)))</f>
        <v/>
      </c>
      <c r="CY128" t="str">
        <f ca="1" t="shared" si="79"/>
        <v/>
      </c>
      <c r="DG128" t="str">
        <f ca="1">IF(B128="","",step01标题尺码信息!$T$30)</f>
        <v/>
      </c>
      <c r="DH128" t="str">
        <f ca="1" t="shared" si="80"/>
        <v/>
      </c>
      <c r="DN128" t="str">
        <f ca="1" t="shared" si="81"/>
        <v/>
      </c>
      <c r="DW128" t="str">
        <f ca="1" t="shared" si="82"/>
        <v/>
      </c>
      <c r="ER128" t="str">
        <f ca="1">IF(B128="","",step01标题尺码信息!$T$37)</f>
        <v/>
      </c>
      <c r="ES128" t="str">
        <f ca="1" t="shared" si="83"/>
        <v/>
      </c>
      <c r="HF128" t="str">
        <f ca="1">IF(B128="","",step01标题尺码信息!$S$2)</f>
        <v/>
      </c>
      <c r="HH128" t="str">
        <f ca="1" t="shared" si="84"/>
        <v/>
      </c>
      <c r="HI128" t="str">
        <f ca="1" t="shared" si="85"/>
        <v/>
      </c>
      <c r="HL128" t="str">
        <f ca="1" t="shared" si="86"/>
        <v/>
      </c>
      <c r="IA128" t="str">
        <f ca="1" t="shared" si="87"/>
        <v/>
      </c>
    </row>
    <row r="129" spans="1:235">
      <c r="A129" t="str">
        <f ca="1">IF(B129="","",step01标题尺码信息!$B$3)</f>
        <v/>
      </c>
      <c r="B129" t="str">
        <f ca="1">IF(step01标题尺码信息!G131="","",step01标题尺码信息!G131)</f>
        <v/>
      </c>
      <c r="C129" t="str">
        <f ca="1">IF(B129="","",step01标题尺码信息!$E$3)</f>
        <v/>
      </c>
      <c r="D129" t="str">
        <f ca="1" t="shared" si="69"/>
        <v/>
      </c>
      <c r="E129" t="str">
        <f ca="1">IF(B129="","",VLOOKUP(B129,step01标题尺码信息!G:P,4,0))</f>
        <v/>
      </c>
      <c r="H129" t="str">
        <f ca="1">IF(B129="","",step01标题尺码信息!$R$19)</f>
        <v/>
      </c>
      <c r="I129" t="str">
        <f ca="1" t="shared" si="70"/>
        <v/>
      </c>
      <c r="M129" t="str">
        <f ca="1" t="shared" si="71"/>
        <v/>
      </c>
      <c r="U129" t="str">
        <f ca="1">IF(B129="","",step01标题尺码信息!$S$1)</f>
        <v/>
      </c>
      <c r="V129" t="str">
        <f ca="1" t="shared" si="72"/>
        <v/>
      </c>
      <c r="W129" t="str">
        <f ca="1">IF(B129="","",step01标题尺码信息!$V$1)</f>
        <v/>
      </c>
      <c r="X129" t="str">
        <f ca="1">IF(B129="","",step01标题尺码信息!$V$2)</f>
        <v/>
      </c>
      <c r="Y129" t="str">
        <f ca="1" t="shared" si="73"/>
        <v/>
      </c>
      <c r="Z129" t="str">
        <f ca="1" t="shared" si="74"/>
        <v/>
      </c>
      <c r="AA129" t="str">
        <f ca="1">IF(B129="","",IF(CB129="Parent","",VLOOKUP(B129,step01标题尺码信息!G:P,9,0)))</f>
        <v/>
      </c>
      <c r="AG129" t="str">
        <f ca="1" t="shared" si="88"/>
        <v/>
      </c>
      <c r="AH129" t="str">
        <f ca="1" t="shared" si="89"/>
        <v/>
      </c>
      <c r="AI129" t="str">
        <f ca="1">IF(OR(B129="",VLOOKUP(BH129,step02图片链接!B:E,4,0)=""),"",VLOOKUP(BH129,step02图片链接!B:E,4,0))</f>
        <v/>
      </c>
      <c r="AJ129" t="str">
        <f ca="1">IF(OR(B129="",VLOOKUP(BH129,step02图片链接!B:G,6,0)=""),"",VLOOKUP(BH129,step02图片链接!B:G,6,0))</f>
        <v/>
      </c>
      <c r="AK129" t="str">
        <f ca="1">IF(OR(B129="",VLOOKUP(BH129,step02图片链接!B:H,7,0)=""),"",VLOOKUP(BH129,step02图片链接!B:H,7,0))</f>
        <v/>
      </c>
      <c r="AL129" t="str">
        <f ca="1">IF(OR(B129="",VLOOKUP(BH129,step02图片链接!B:I,8,0)=""),"",VLOOKUP(BH129,step02图片链接!B:I,8,0))</f>
        <v/>
      </c>
      <c r="AM129" t="str">
        <f ca="1">IF(OR(B129="",VLOOKUP(BH129,step02图片链接!B:J,9,0)=""),"",VLOOKUP(BH129,step02图片链接!B:J,9,0))</f>
        <v/>
      </c>
      <c r="AN129" t="str">
        <f ca="1">IF(OR(B129="",VLOOKUP(BH129,step02图片链接!B:K,10,0)=""),"",VLOOKUP(BH129,step02图片链接!B:K,10,0))</f>
        <v/>
      </c>
      <c r="AO129" t="str">
        <f ca="1">IF(OR(B129="",VLOOKUP(BH129,step02图片链接!B:L,11,0)=""),"",VLOOKUP(BH129,step02图片链接!B:L,11,0))</f>
        <v/>
      </c>
      <c r="AP129" t="str">
        <f ca="1">IF(OR(B129="",VLOOKUP(BH129,step02图片链接!B:M,12,0)=""),"",VLOOKUP(BH129,step02图片链接!B:M,12,0))</f>
        <v/>
      </c>
      <c r="AQ129" t="str">
        <f ca="1">IF(OR(B129="",VLOOKUP(BH129,step02图片链接!B:N,13,0)=""),"",VLOOKUP(BH129,step02图片链接!B:N,13,0))</f>
        <v/>
      </c>
      <c r="AS129" t="str">
        <f ca="1" t="shared" si="90"/>
        <v/>
      </c>
      <c r="AT129" t="str">
        <f ca="1" t="shared" si="91"/>
        <v/>
      </c>
      <c r="AU129" t="str">
        <f ca="1" t="shared" si="75"/>
        <v/>
      </c>
      <c r="AV129" t="str">
        <f ca="1">IF(B129="","",step01标题尺码信息!$T$36)</f>
        <v/>
      </c>
      <c r="AZ129" t="str">
        <f ca="1">IF(B129="","",step01标题尺码信息!$S$41)</f>
        <v/>
      </c>
      <c r="BA129" t="str">
        <f ca="1">IF(B129="","",step01标题尺码信息!$S$43)</f>
        <v/>
      </c>
      <c r="BB129" t="str">
        <f ca="1">IF(B129="","",step01标题尺码信息!$S$45)</f>
        <v/>
      </c>
      <c r="BC129" t="str">
        <f ca="1">IF(B129="","",step01标题尺码信息!$S$47)</f>
        <v/>
      </c>
      <c r="BD129" t="str">
        <f ca="1">IF(B129="","",step01标题尺码信息!$S$49)</f>
        <v/>
      </c>
      <c r="BE129" t="str">
        <f ca="1">IF(B129="","",step01标题尺码信息!$S$53)</f>
        <v/>
      </c>
      <c r="BH129" t="str">
        <f ca="1">IF(B129="","",IF(DX129="Parent","",VLOOKUP(B129,step01标题尺码信息!G:P,7,0)))</f>
        <v/>
      </c>
      <c r="BI129" t="str">
        <f ca="1">IF(B129="","",IF(DX129="Parent","",VLOOKUP(B129,step01标题尺码信息!G:P,8,0)))</f>
        <v/>
      </c>
      <c r="BK129" t="str">
        <f ca="1" t="shared" si="76"/>
        <v/>
      </c>
      <c r="BL129" t="str">
        <f ca="1" t="shared" si="77"/>
        <v/>
      </c>
      <c r="BO129" t="str">
        <f ca="1" t="shared" si="78"/>
        <v/>
      </c>
      <c r="BR129" t="str">
        <f ca="1">IF(B129="","",IF(AS129="Parent","",VLOOKUP(B129,step01标题尺码信息!G:P,9,0)))</f>
        <v/>
      </c>
      <c r="CY129" t="str">
        <f ca="1" t="shared" si="79"/>
        <v/>
      </c>
      <c r="DG129" t="str">
        <f ca="1">IF(B129="","",step01标题尺码信息!$T$30)</f>
        <v/>
      </c>
      <c r="DH129" t="str">
        <f ca="1" t="shared" si="80"/>
        <v/>
      </c>
      <c r="DN129" t="str">
        <f ca="1" t="shared" si="81"/>
        <v/>
      </c>
      <c r="DW129" t="str">
        <f ca="1" t="shared" si="82"/>
        <v/>
      </c>
      <c r="ER129" t="str">
        <f ca="1">IF(B129="","",step01标题尺码信息!$T$37)</f>
        <v/>
      </c>
      <c r="ES129" t="str">
        <f ca="1" t="shared" si="83"/>
        <v/>
      </c>
      <c r="HF129" t="str">
        <f ca="1">IF(B129="","",step01标题尺码信息!$S$2)</f>
        <v/>
      </c>
      <c r="HH129" t="str">
        <f ca="1" t="shared" si="84"/>
        <v/>
      </c>
      <c r="HI129" t="str">
        <f ca="1" t="shared" si="85"/>
        <v/>
      </c>
      <c r="HL129" t="str">
        <f ca="1" t="shared" si="86"/>
        <v/>
      </c>
      <c r="IA129" t="str">
        <f ca="1" t="shared" si="87"/>
        <v/>
      </c>
    </row>
    <row r="130" spans="1:235">
      <c r="A130" t="str">
        <f ca="1">IF(B130="","",step01标题尺码信息!$B$3)</f>
        <v/>
      </c>
      <c r="B130" t="str">
        <f ca="1">IF(step01标题尺码信息!G132="","",step01标题尺码信息!G132)</f>
        <v/>
      </c>
      <c r="C130" t="str">
        <f ca="1">IF(B130="","",step01标题尺码信息!$E$3)</f>
        <v/>
      </c>
      <c r="D130" t="str">
        <f ca="1" t="shared" si="69"/>
        <v/>
      </c>
      <c r="E130" t="str">
        <f ca="1">IF(B130="","",VLOOKUP(B130,step01标题尺码信息!G:P,4,0))</f>
        <v/>
      </c>
      <c r="H130" t="str">
        <f ca="1">IF(B130="","",step01标题尺码信息!$R$19)</f>
        <v/>
      </c>
      <c r="I130" t="str">
        <f ca="1" t="shared" si="70"/>
        <v/>
      </c>
      <c r="M130" t="str">
        <f ca="1" t="shared" si="71"/>
        <v/>
      </c>
      <c r="U130" t="str">
        <f ca="1">IF(B130="","",step01标题尺码信息!$S$1)</f>
        <v/>
      </c>
      <c r="V130" t="str">
        <f ca="1" t="shared" si="72"/>
        <v/>
      </c>
      <c r="W130" t="str">
        <f ca="1">IF(B130="","",step01标题尺码信息!$V$1)</f>
        <v/>
      </c>
      <c r="X130" t="str">
        <f ca="1">IF(B130="","",step01标题尺码信息!$V$2)</f>
        <v/>
      </c>
      <c r="Y130" t="str">
        <f ca="1" t="shared" si="73"/>
        <v/>
      </c>
      <c r="Z130" t="str">
        <f ca="1" t="shared" si="74"/>
        <v/>
      </c>
      <c r="AA130" t="str">
        <f ca="1">IF(B130="","",IF(CB130="Parent","",VLOOKUP(B130,step01标题尺码信息!G:P,9,0)))</f>
        <v/>
      </c>
      <c r="AG130" t="str">
        <f ca="1" t="shared" si="88"/>
        <v/>
      </c>
      <c r="AH130" t="str">
        <f ca="1" t="shared" si="89"/>
        <v/>
      </c>
      <c r="AI130" t="str">
        <f ca="1">IF(OR(B130="",VLOOKUP(BH130,step02图片链接!B:E,4,0)=""),"",VLOOKUP(BH130,step02图片链接!B:E,4,0))</f>
        <v/>
      </c>
      <c r="AJ130" t="str">
        <f ca="1">IF(OR(B130="",VLOOKUP(BH130,step02图片链接!B:G,6,0)=""),"",VLOOKUP(BH130,step02图片链接!B:G,6,0))</f>
        <v/>
      </c>
      <c r="AK130" t="str">
        <f ca="1">IF(OR(B130="",VLOOKUP(BH130,step02图片链接!B:H,7,0)=""),"",VLOOKUP(BH130,step02图片链接!B:H,7,0))</f>
        <v/>
      </c>
      <c r="AL130" t="str">
        <f ca="1">IF(OR(B130="",VLOOKUP(BH130,step02图片链接!B:I,8,0)=""),"",VLOOKUP(BH130,step02图片链接!B:I,8,0))</f>
        <v/>
      </c>
      <c r="AM130" t="str">
        <f ca="1">IF(OR(B130="",VLOOKUP(BH130,step02图片链接!B:J,9,0)=""),"",VLOOKUP(BH130,step02图片链接!B:J,9,0))</f>
        <v/>
      </c>
      <c r="AN130" t="str">
        <f ca="1">IF(OR(B130="",VLOOKUP(BH130,step02图片链接!B:K,10,0)=""),"",VLOOKUP(BH130,step02图片链接!B:K,10,0))</f>
        <v/>
      </c>
      <c r="AO130" t="str">
        <f ca="1">IF(OR(B130="",VLOOKUP(BH130,step02图片链接!B:L,11,0)=""),"",VLOOKUP(BH130,step02图片链接!B:L,11,0))</f>
        <v/>
      </c>
      <c r="AP130" t="str">
        <f ca="1">IF(OR(B130="",VLOOKUP(BH130,step02图片链接!B:M,12,0)=""),"",VLOOKUP(BH130,step02图片链接!B:M,12,0))</f>
        <v/>
      </c>
      <c r="AQ130" t="str">
        <f ca="1">IF(OR(B130="",VLOOKUP(BH130,step02图片链接!B:N,13,0)=""),"",VLOOKUP(BH130,step02图片链接!B:N,13,0))</f>
        <v/>
      </c>
      <c r="AS130" t="str">
        <f ca="1" t="shared" si="90"/>
        <v/>
      </c>
      <c r="AT130" t="str">
        <f ca="1" t="shared" si="91"/>
        <v/>
      </c>
      <c r="AU130" t="str">
        <f ca="1" t="shared" si="75"/>
        <v/>
      </c>
      <c r="AV130" t="str">
        <f ca="1">IF(B130="","",step01标题尺码信息!$T$36)</f>
        <v/>
      </c>
      <c r="AZ130" t="str">
        <f ca="1">IF(B130="","",step01标题尺码信息!$S$41)</f>
        <v/>
      </c>
      <c r="BA130" t="str">
        <f ca="1">IF(B130="","",step01标题尺码信息!$S$43)</f>
        <v/>
      </c>
      <c r="BB130" t="str">
        <f ca="1">IF(B130="","",step01标题尺码信息!$S$45)</f>
        <v/>
      </c>
      <c r="BC130" t="str">
        <f ca="1">IF(B130="","",step01标题尺码信息!$S$47)</f>
        <v/>
      </c>
      <c r="BD130" t="str">
        <f ca="1">IF(B130="","",step01标题尺码信息!$S$49)</f>
        <v/>
      </c>
      <c r="BE130" t="str">
        <f ca="1">IF(B130="","",step01标题尺码信息!$S$53)</f>
        <v/>
      </c>
      <c r="BH130" t="str">
        <f ca="1">IF(B130="","",IF(DX130="Parent","",VLOOKUP(B130,step01标题尺码信息!G:P,7,0)))</f>
        <v/>
      </c>
      <c r="BI130" t="str">
        <f ca="1">IF(B130="","",IF(DX130="Parent","",VLOOKUP(B130,step01标题尺码信息!G:P,8,0)))</f>
        <v/>
      </c>
      <c r="BK130" t="str">
        <f ca="1" t="shared" si="76"/>
        <v/>
      </c>
      <c r="BL130" t="str">
        <f ca="1" t="shared" si="77"/>
        <v/>
      </c>
      <c r="BO130" t="str">
        <f ca="1" t="shared" si="78"/>
        <v/>
      </c>
      <c r="BR130" t="str">
        <f ca="1">IF(B130="","",IF(AS130="Parent","",VLOOKUP(B130,step01标题尺码信息!G:P,9,0)))</f>
        <v/>
      </c>
      <c r="CY130" t="str">
        <f ca="1" t="shared" si="79"/>
        <v/>
      </c>
      <c r="DG130" t="str">
        <f ca="1">IF(B130="","",step01标题尺码信息!$T$30)</f>
        <v/>
      </c>
      <c r="DH130" t="str">
        <f ca="1" t="shared" si="80"/>
        <v/>
      </c>
      <c r="DN130" t="str">
        <f ca="1" t="shared" si="81"/>
        <v/>
      </c>
      <c r="DW130" t="str">
        <f ca="1" t="shared" si="82"/>
        <v/>
      </c>
      <c r="ER130" t="str">
        <f ca="1">IF(B130="","",step01标题尺码信息!$T$37)</f>
        <v/>
      </c>
      <c r="ES130" t="str">
        <f ca="1" t="shared" si="83"/>
        <v/>
      </c>
      <c r="HF130" t="str">
        <f ca="1">IF(B130="","",step01标题尺码信息!$S$2)</f>
        <v/>
      </c>
      <c r="HH130" t="str">
        <f ca="1" t="shared" si="84"/>
        <v/>
      </c>
      <c r="HI130" t="str">
        <f ca="1" t="shared" si="85"/>
        <v/>
      </c>
      <c r="HL130" t="str">
        <f ca="1" t="shared" si="86"/>
        <v/>
      </c>
      <c r="IA130" t="str">
        <f ca="1" t="shared" si="87"/>
        <v/>
      </c>
    </row>
    <row r="131" spans="1:235">
      <c r="A131" t="str">
        <f ca="1">IF(B131="","",step01标题尺码信息!$B$3)</f>
        <v/>
      </c>
      <c r="B131" t="str">
        <f ca="1">IF(step01标题尺码信息!G133="","",step01标题尺码信息!G133)</f>
        <v/>
      </c>
      <c r="C131" t="str">
        <f ca="1">IF(B131="","",step01标题尺码信息!$E$3)</f>
        <v/>
      </c>
      <c r="D131" t="str">
        <f ca="1" t="shared" si="69"/>
        <v/>
      </c>
      <c r="E131" t="str">
        <f ca="1">IF(B131="","",VLOOKUP(B131,step01标题尺码信息!G:P,4,0))</f>
        <v/>
      </c>
      <c r="H131" t="str">
        <f ca="1">IF(B131="","",step01标题尺码信息!$R$19)</f>
        <v/>
      </c>
      <c r="I131" t="str">
        <f ca="1" t="shared" si="70"/>
        <v/>
      </c>
      <c r="M131" t="str">
        <f ca="1" t="shared" si="71"/>
        <v/>
      </c>
      <c r="U131" t="str">
        <f ca="1">IF(B131="","",step01标题尺码信息!$S$1)</f>
        <v/>
      </c>
      <c r="V131" t="str">
        <f ca="1" t="shared" si="72"/>
        <v/>
      </c>
      <c r="W131" t="str">
        <f ca="1">IF(B131="","",step01标题尺码信息!$V$1)</f>
        <v/>
      </c>
      <c r="X131" t="str">
        <f ca="1">IF(B131="","",step01标题尺码信息!$V$2)</f>
        <v/>
      </c>
      <c r="Y131" t="str">
        <f ca="1" t="shared" si="73"/>
        <v/>
      </c>
      <c r="Z131" t="str">
        <f ca="1" t="shared" si="74"/>
        <v/>
      </c>
      <c r="AA131" t="str">
        <f ca="1">IF(B131="","",IF(CB131="Parent","",VLOOKUP(B131,step01标题尺码信息!G:P,9,0)))</f>
        <v/>
      </c>
      <c r="AG131" t="str">
        <f ca="1" t="shared" si="88"/>
        <v/>
      </c>
      <c r="AH131" t="str">
        <f ca="1" t="shared" si="89"/>
        <v/>
      </c>
      <c r="AI131" t="str">
        <f ca="1">IF(OR(B131="",VLOOKUP(BH131,step02图片链接!B:E,4,0)=""),"",VLOOKUP(BH131,step02图片链接!B:E,4,0))</f>
        <v/>
      </c>
      <c r="AJ131" t="str">
        <f ca="1">IF(OR(B131="",VLOOKUP(BH131,step02图片链接!B:G,6,0)=""),"",VLOOKUP(BH131,step02图片链接!B:G,6,0))</f>
        <v/>
      </c>
      <c r="AK131" t="str">
        <f ca="1">IF(OR(B131="",VLOOKUP(BH131,step02图片链接!B:H,7,0)=""),"",VLOOKUP(BH131,step02图片链接!B:H,7,0))</f>
        <v/>
      </c>
      <c r="AL131" t="str">
        <f ca="1">IF(OR(B131="",VLOOKUP(BH131,step02图片链接!B:I,8,0)=""),"",VLOOKUP(BH131,step02图片链接!B:I,8,0))</f>
        <v/>
      </c>
      <c r="AM131" t="str">
        <f ca="1">IF(OR(B131="",VLOOKUP(BH131,step02图片链接!B:J,9,0)=""),"",VLOOKUP(BH131,step02图片链接!B:J,9,0))</f>
        <v/>
      </c>
      <c r="AN131" t="str">
        <f ca="1">IF(OR(B131="",VLOOKUP(BH131,step02图片链接!B:K,10,0)=""),"",VLOOKUP(BH131,step02图片链接!B:K,10,0))</f>
        <v/>
      </c>
      <c r="AO131" t="str">
        <f ca="1">IF(OR(B131="",VLOOKUP(BH131,step02图片链接!B:L,11,0)=""),"",VLOOKUP(BH131,step02图片链接!B:L,11,0))</f>
        <v/>
      </c>
      <c r="AP131" t="str">
        <f ca="1">IF(OR(B131="",VLOOKUP(BH131,step02图片链接!B:M,12,0)=""),"",VLOOKUP(BH131,step02图片链接!B:M,12,0))</f>
        <v/>
      </c>
      <c r="AQ131" t="str">
        <f ca="1">IF(OR(B131="",VLOOKUP(BH131,step02图片链接!B:N,13,0)=""),"",VLOOKUP(BH131,step02图片链接!B:N,13,0))</f>
        <v/>
      </c>
      <c r="AS131" t="str">
        <f ca="1" t="shared" si="90"/>
        <v/>
      </c>
      <c r="AT131" t="str">
        <f ca="1" t="shared" si="91"/>
        <v/>
      </c>
      <c r="AU131" t="str">
        <f ca="1" t="shared" si="75"/>
        <v/>
      </c>
      <c r="AV131" t="str">
        <f ca="1">IF(B131="","",step01标题尺码信息!$T$36)</f>
        <v/>
      </c>
      <c r="AZ131" t="str">
        <f ca="1">IF(B131="","",step01标题尺码信息!$S$41)</f>
        <v/>
      </c>
      <c r="BA131" t="str">
        <f ca="1">IF(B131="","",step01标题尺码信息!$S$43)</f>
        <v/>
      </c>
      <c r="BB131" t="str">
        <f ca="1">IF(B131="","",step01标题尺码信息!$S$45)</f>
        <v/>
      </c>
      <c r="BC131" t="str">
        <f ca="1">IF(B131="","",step01标题尺码信息!$S$47)</f>
        <v/>
      </c>
      <c r="BD131" t="str">
        <f ca="1">IF(B131="","",step01标题尺码信息!$S$49)</f>
        <v/>
      </c>
      <c r="BE131" t="str">
        <f ca="1">IF(B131="","",step01标题尺码信息!$S$53)</f>
        <v/>
      </c>
      <c r="BH131" t="str">
        <f ca="1">IF(B131="","",IF(DX131="Parent","",VLOOKUP(B131,step01标题尺码信息!G:P,7,0)))</f>
        <v/>
      </c>
      <c r="BI131" t="str">
        <f ca="1">IF(B131="","",IF(DX131="Parent","",VLOOKUP(B131,step01标题尺码信息!G:P,8,0)))</f>
        <v/>
      </c>
      <c r="BK131" t="str">
        <f ca="1" t="shared" si="76"/>
        <v/>
      </c>
      <c r="BL131" t="str">
        <f ca="1" t="shared" si="77"/>
        <v/>
      </c>
      <c r="BO131" t="str">
        <f ca="1" t="shared" si="78"/>
        <v/>
      </c>
      <c r="BR131" t="str">
        <f ca="1">IF(B131="","",IF(AS131="Parent","",VLOOKUP(B131,step01标题尺码信息!G:P,9,0)))</f>
        <v/>
      </c>
      <c r="CY131" t="str">
        <f ca="1" t="shared" si="79"/>
        <v/>
      </c>
      <c r="DG131" t="str">
        <f ca="1">IF(B131="","",step01标题尺码信息!$T$30)</f>
        <v/>
      </c>
      <c r="DH131" t="str">
        <f ca="1" t="shared" si="80"/>
        <v/>
      </c>
      <c r="DN131" t="str">
        <f ca="1" t="shared" si="81"/>
        <v/>
      </c>
      <c r="DW131" t="str">
        <f ca="1" t="shared" si="82"/>
        <v/>
      </c>
      <c r="ER131" t="str">
        <f ca="1">IF(B131="","",step01标题尺码信息!$T$37)</f>
        <v/>
      </c>
      <c r="ES131" t="str">
        <f ca="1" t="shared" si="83"/>
        <v/>
      </c>
      <c r="HF131" t="str">
        <f ca="1">IF(B131="","",step01标题尺码信息!$S$2)</f>
        <v/>
      </c>
      <c r="HH131" t="str">
        <f ca="1" t="shared" si="84"/>
        <v/>
      </c>
      <c r="HI131" t="str">
        <f ca="1" t="shared" si="85"/>
        <v/>
      </c>
      <c r="HL131" t="str">
        <f ca="1" t="shared" si="86"/>
        <v/>
      </c>
      <c r="IA131" t="str">
        <f ca="1" t="shared" si="87"/>
        <v/>
      </c>
    </row>
    <row r="132" spans="1:235">
      <c r="A132" t="str">
        <f ca="1">IF(B132="","",step01标题尺码信息!$B$3)</f>
        <v/>
      </c>
      <c r="B132" t="str">
        <f ca="1">IF(step01标题尺码信息!G134="","",step01标题尺码信息!G134)</f>
        <v/>
      </c>
      <c r="C132" t="str">
        <f ca="1">IF(B132="","",step01标题尺码信息!$E$3)</f>
        <v/>
      </c>
      <c r="D132" t="str">
        <f ca="1" t="shared" si="69"/>
        <v/>
      </c>
      <c r="E132" t="str">
        <f ca="1">IF(B132="","",VLOOKUP(B132,step01标题尺码信息!G:P,4,0))</f>
        <v/>
      </c>
      <c r="H132" t="str">
        <f ca="1">IF(B132="","",step01标题尺码信息!$R$19)</f>
        <v/>
      </c>
      <c r="I132" t="str">
        <f ca="1" t="shared" si="70"/>
        <v/>
      </c>
      <c r="M132" t="str">
        <f ca="1" t="shared" si="71"/>
        <v/>
      </c>
      <c r="U132" t="str">
        <f ca="1">IF(B132="","",step01标题尺码信息!$S$1)</f>
        <v/>
      </c>
      <c r="V132" t="str">
        <f ca="1" t="shared" si="72"/>
        <v/>
      </c>
      <c r="W132" t="str">
        <f ca="1">IF(B132="","",step01标题尺码信息!$V$1)</f>
        <v/>
      </c>
      <c r="X132" t="str">
        <f ca="1">IF(B132="","",step01标题尺码信息!$V$2)</f>
        <v/>
      </c>
      <c r="Y132" t="str">
        <f ca="1" t="shared" si="73"/>
        <v/>
      </c>
      <c r="Z132" t="str">
        <f ca="1" t="shared" si="74"/>
        <v/>
      </c>
      <c r="AA132" t="str">
        <f ca="1">IF(B132="","",IF(CB132="Parent","",VLOOKUP(B132,step01标题尺码信息!G:P,9,0)))</f>
        <v/>
      </c>
      <c r="AG132" t="str">
        <f ca="1" t="shared" si="88"/>
        <v/>
      </c>
      <c r="AH132" t="str">
        <f ca="1" t="shared" si="89"/>
        <v/>
      </c>
      <c r="AI132" t="str">
        <f ca="1">IF(OR(B132="",VLOOKUP(BH132,step02图片链接!B:E,4,0)=""),"",VLOOKUP(BH132,step02图片链接!B:E,4,0))</f>
        <v/>
      </c>
      <c r="AJ132" t="str">
        <f ca="1">IF(OR(B132="",VLOOKUP(BH132,step02图片链接!B:G,6,0)=""),"",VLOOKUP(BH132,step02图片链接!B:G,6,0))</f>
        <v/>
      </c>
      <c r="AK132" t="str">
        <f ca="1">IF(OR(B132="",VLOOKUP(BH132,step02图片链接!B:H,7,0)=""),"",VLOOKUP(BH132,step02图片链接!B:H,7,0))</f>
        <v/>
      </c>
      <c r="AL132" t="str">
        <f ca="1">IF(OR(B132="",VLOOKUP(BH132,step02图片链接!B:I,8,0)=""),"",VLOOKUP(BH132,step02图片链接!B:I,8,0))</f>
        <v/>
      </c>
      <c r="AM132" t="str">
        <f ca="1">IF(OR(B132="",VLOOKUP(BH132,step02图片链接!B:J,9,0)=""),"",VLOOKUP(BH132,step02图片链接!B:J,9,0))</f>
        <v/>
      </c>
      <c r="AN132" t="str">
        <f ca="1">IF(OR(B132="",VLOOKUP(BH132,step02图片链接!B:K,10,0)=""),"",VLOOKUP(BH132,step02图片链接!B:K,10,0))</f>
        <v/>
      </c>
      <c r="AO132" t="str">
        <f ca="1">IF(OR(B132="",VLOOKUP(BH132,step02图片链接!B:L,11,0)=""),"",VLOOKUP(BH132,step02图片链接!B:L,11,0))</f>
        <v/>
      </c>
      <c r="AP132" t="str">
        <f ca="1">IF(OR(B132="",VLOOKUP(BH132,step02图片链接!B:M,12,0)=""),"",VLOOKUP(BH132,step02图片链接!B:M,12,0))</f>
        <v/>
      </c>
      <c r="AQ132" t="str">
        <f ca="1">IF(OR(B132="",VLOOKUP(BH132,step02图片链接!B:N,13,0)=""),"",VLOOKUP(BH132,step02图片链接!B:N,13,0))</f>
        <v/>
      </c>
      <c r="AS132" t="str">
        <f ca="1" t="shared" si="90"/>
        <v/>
      </c>
      <c r="AT132" t="str">
        <f ca="1" t="shared" si="91"/>
        <v/>
      </c>
      <c r="AU132" t="str">
        <f ca="1" t="shared" si="75"/>
        <v/>
      </c>
      <c r="AV132" t="str">
        <f ca="1">IF(B132="","",step01标题尺码信息!$T$36)</f>
        <v/>
      </c>
      <c r="AZ132" t="str">
        <f ca="1">IF(B132="","",step01标题尺码信息!$S$41)</f>
        <v/>
      </c>
      <c r="BA132" t="str">
        <f ca="1">IF(B132="","",step01标题尺码信息!$S$43)</f>
        <v/>
      </c>
      <c r="BB132" t="str">
        <f ca="1">IF(B132="","",step01标题尺码信息!$S$45)</f>
        <v/>
      </c>
      <c r="BC132" t="str">
        <f ca="1">IF(B132="","",step01标题尺码信息!$S$47)</f>
        <v/>
      </c>
      <c r="BD132" t="str">
        <f ca="1">IF(B132="","",step01标题尺码信息!$S$49)</f>
        <v/>
      </c>
      <c r="BE132" t="str">
        <f ca="1">IF(B132="","",step01标题尺码信息!$S$53)</f>
        <v/>
      </c>
      <c r="BH132" t="str">
        <f ca="1">IF(B132="","",IF(DX132="Parent","",VLOOKUP(B132,step01标题尺码信息!G:P,7,0)))</f>
        <v/>
      </c>
      <c r="BI132" t="str">
        <f ca="1">IF(B132="","",IF(DX132="Parent","",VLOOKUP(B132,step01标题尺码信息!G:P,8,0)))</f>
        <v/>
      </c>
      <c r="BK132" t="str">
        <f ca="1" t="shared" si="76"/>
        <v/>
      </c>
      <c r="BL132" t="str">
        <f ca="1" t="shared" si="77"/>
        <v/>
      </c>
      <c r="BO132" t="str">
        <f ca="1" t="shared" si="78"/>
        <v/>
      </c>
      <c r="BR132" t="str">
        <f ca="1">IF(B132="","",IF(AS132="Parent","",VLOOKUP(B132,step01标题尺码信息!G:P,9,0)))</f>
        <v/>
      </c>
      <c r="CY132" t="str">
        <f ca="1" t="shared" si="79"/>
        <v/>
      </c>
      <c r="DG132" t="str">
        <f ca="1">IF(B132="","",step01标题尺码信息!$T$30)</f>
        <v/>
      </c>
      <c r="DH132" t="str">
        <f ca="1" t="shared" si="80"/>
        <v/>
      </c>
      <c r="DN132" t="str">
        <f ca="1" t="shared" si="81"/>
        <v/>
      </c>
      <c r="DW132" t="str">
        <f ca="1" t="shared" si="82"/>
        <v/>
      </c>
      <c r="ER132" t="str">
        <f ca="1">IF(B132="","",step01标题尺码信息!$T$37)</f>
        <v/>
      </c>
      <c r="ES132" t="str">
        <f ca="1" t="shared" si="83"/>
        <v/>
      </c>
      <c r="HF132" t="str">
        <f ca="1">IF(B132="","",step01标题尺码信息!$S$2)</f>
        <v/>
      </c>
      <c r="HH132" t="str">
        <f ca="1" t="shared" si="84"/>
        <v/>
      </c>
      <c r="HI132" t="str">
        <f ca="1" t="shared" si="85"/>
        <v/>
      </c>
      <c r="HL132" t="str">
        <f ca="1" t="shared" si="86"/>
        <v/>
      </c>
      <c r="IA132" t="str">
        <f ca="1" t="shared" si="87"/>
        <v/>
      </c>
    </row>
    <row r="133" spans="1:235">
      <c r="A133" t="str">
        <f ca="1">IF(B133="","",step01标题尺码信息!$B$3)</f>
        <v/>
      </c>
      <c r="B133" t="str">
        <f ca="1">IF(step01标题尺码信息!G135="","",step01标题尺码信息!G135)</f>
        <v/>
      </c>
      <c r="C133" t="str">
        <f ca="1">IF(B133="","",step01标题尺码信息!$E$3)</f>
        <v/>
      </c>
      <c r="D133" t="str">
        <f ca="1" t="shared" ref="D133:D164" si="92">IF(B133="","","Update")</f>
        <v/>
      </c>
      <c r="E133" t="str">
        <f ca="1">IF(B133="","",VLOOKUP(B133,step01标题尺码信息!G:P,4,0))</f>
        <v/>
      </c>
      <c r="H133" t="str">
        <f ca="1">IF(B133="","",step01标题尺码信息!$R$19)</f>
        <v/>
      </c>
      <c r="I133" t="str">
        <f ca="1" t="shared" ref="I133:I164" si="93">IF(B133="","","novelty-t-shirts")</f>
        <v/>
      </c>
      <c r="M133" t="str">
        <f ca="1" t="shared" ref="M133:M164" si="94">IF(B133="","","Synthetic")</f>
        <v/>
      </c>
      <c r="U133" t="str">
        <f ca="1">IF(B133="","",step01标题尺码信息!$S$1)</f>
        <v/>
      </c>
      <c r="V133" t="str">
        <f ca="1" t="shared" ref="V133:V164" si="95">IF(B133="","",1000)</f>
        <v/>
      </c>
      <c r="W133" t="str">
        <f ca="1">IF(B133="","",step01标题尺码信息!$V$1)</f>
        <v/>
      </c>
      <c r="X133" t="str">
        <f ca="1">IF(B133="","",step01标题尺码信息!$V$2)</f>
        <v/>
      </c>
      <c r="Y133" t="str">
        <f ca="1" t="shared" ref="Y133:Y164" si="96">IF(B133="","","US")</f>
        <v/>
      </c>
      <c r="Z133" t="str">
        <f ca="1" t="shared" ref="Z133:Z164" si="97">IF(B133="","","Alpha")</f>
        <v/>
      </c>
      <c r="AA133" t="str">
        <f ca="1">IF(B133="","",IF(CB133="Parent","",VLOOKUP(B133,step01标题尺码信息!G:P,9,0)))</f>
        <v/>
      </c>
      <c r="AG133" t="str">
        <f ca="1" t="shared" si="88"/>
        <v/>
      </c>
      <c r="AH133" t="str">
        <f ca="1" t="shared" si="89"/>
        <v/>
      </c>
      <c r="AI133" t="str">
        <f ca="1">IF(OR(B133="",VLOOKUP(BH133,step02图片链接!B:E,4,0)=""),"",VLOOKUP(BH133,step02图片链接!B:E,4,0))</f>
        <v/>
      </c>
      <c r="AJ133" t="str">
        <f ca="1">IF(OR(B133="",VLOOKUP(BH133,step02图片链接!B:G,6,0)=""),"",VLOOKUP(BH133,step02图片链接!B:G,6,0))</f>
        <v/>
      </c>
      <c r="AK133" t="str">
        <f ca="1">IF(OR(B133="",VLOOKUP(BH133,step02图片链接!B:H,7,0)=""),"",VLOOKUP(BH133,step02图片链接!B:H,7,0))</f>
        <v/>
      </c>
      <c r="AL133" t="str">
        <f ca="1">IF(OR(B133="",VLOOKUP(BH133,step02图片链接!B:I,8,0)=""),"",VLOOKUP(BH133,step02图片链接!B:I,8,0))</f>
        <v/>
      </c>
      <c r="AM133" t="str">
        <f ca="1">IF(OR(B133="",VLOOKUP(BH133,step02图片链接!B:J,9,0)=""),"",VLOOKUP(BH133,step02图片链接!B:J,9,0))</f>
        <v/>
      </c>
      <c r="AN133" t="str">
        <f ca="1">IF(OR(B133="",VLOOKUP(BH133,step02图片链接!B:K,10,0)=""),"",VLOOKUP(BH133,step02图片链接!B:K,10,0))</f>
        <v/>
      </c>
      <c r="AO133" t="str">
        <f ca="1">IF(OR(B133="",VLOOKUP(BH133,step02图片链接!B:L,11,0)=""),"",VLOOKUP(BH133,step02图片链接!B:L,11,0))</f>
        <v/>
      </c>
      <c r="AP133" t="str">
        <f ca="1">IF(OR(B133="",VLOOKUP(BH133,step02图片链接!B:M,12,0)=""),"",VLOOKUP(BH133,step02图片链接!B:M,12,0))</f>
        <v/>
      </c>
      <c r="AQ133" t="str">
        <f ca="1">IF(OR(B133="",VLOOKUP(BH133,step02图片链接!B:N,13,0)=""),"",VLOOKUP(BH133,step02图片链接!B:N,13,0))</f>
        <v/>
      </c>
      <c r="AS133" t="str">
        <f ca="1" t="shared" si="90"/>
        <v/>
      </c>
      <c r="AT133" t="str">
        <f ca="1" t="shared" si="91"/>
        <v/>
      </c>
      <c r="AU133" t="str">
        <f ca="1" t="shared" ref="AU133:AU164" si="98">IF(AT133="","","Variation")</f>
        <v/>
      </c>
      <c r="AV133" t="str">
        <f ca="1">IF(B133="","",step01标题尺码信息!$T$36)</f>
        <v/>
      </c>
      <c r="AZ133" t="str">
        <f ca="1">IF(B133="","",step01标题尺码信息!$S$41)</f>
        <v/>
      </c>
      <c r="BA133" t="str">
        <f ca="1">IF(B133="","",step01标题尺码信息!$S$43)</f>
        <v/>
      </c>
      <c r="BB133" t="str">
        <f ca="1">IF(B133="","",step01标题尺码信息!$S$45)</f>
        <v/>
      </c>
      <c r="BC133" t="str">
        <f ca="1">IF(B133="","",step01标题尺码信息!$S$47)</f>
        <v/>
      </c>
      <c r="BD133" t="str">
        <f ca="1">IF(B133="","",step01标题尺码信息!$S$49)</f>
        <v/>
      </c>
      <c r="BE133" t="str">
        <f ca="1">IF(B133="","",step01标题尺码信息!$S$53)</f>
        <v/>
      </c>
      <c r="BH133" t="str">
        <f ca="1">IF(B133="","",IF(DX133="Parent","",VLOOKUP(B133,step01标题尺码信息!G:P,7,0)))</f>
        <v/>
      </c>
      <c r="BI133" t="str">
        <f ca="1">IF(B133="","",IF(DX133="Parent","",VLOOKUP(B133,step01标题尺码信息!G:P,8,0)))</f>
        <v/>
      </c>
      <c r="BK133" t="str">
        <f ca="1" t="shared" ref="BK133:BK164" si="99">IF(B133="","","Unisex Adult")</f>
        <v/>
      </c>
      <c r="BL133" t="str">
        <f ca="1" t="shared" ref="BL133:BL164" si="100">IF(B133="","","Regular")</f>
        <v/>
      </c>
      <c r="BO133" t="str">
        <f ca="1" t="shared" ref="BO133:BO164" si="101">IF(B133="","","Crewneck")</f>
        <v/>
      </c>
      <c r="BR133" t="str">
        <f ca="1">IF(B133="","",IF(AS133="Parent","",VLOOKUP(B133,step01标题尺码信息!G:P,9,0)))</f>
        <v/>
      </c>
      <c r="CY133" t="str">
        <f ca="1" t="shared" ref="CY133:CY164" si="102">IF(B133="","","Short Sleeve")</f>
        <v/>
      </c>
      <c r="DG133" t="str">
        <f ca="1">IF(B133="","",step01标题尺码信息!$T$30)</f>
        <v/>
      </c>
      <c r="DH133" t="str">
        <f ca="1" t="shared" ref="DH133:DH164" si="103">IF(B133="","","KG")</f>
        <v/>
      </c>
      <c r="DN133" t="str">
        <f ca="1" t="shared" ref="DN133:DN164" si="104">BR133</f>
        <v/>
      </c>
      <c r="DW133" t="str">
        <f ca="1" t="shared" ref="DW133:DW164" si="105">IF(B133="","","DEFAULT")</f>
        <v/>
      </c>
      <c r="ER133" t="str">
        <f ca="1">IF(B133="","",step01标题尺码信息!$T$37)</f>
        <v/>
      </c>
      <c r="ES133" t="str">
        <f ca="1" t="shared" ref="ES133:ES164" si="106">IF(B133="","","Imported")</f>
        <v/>
      </c>
      <c r="HF133" t="str">
        <f ca="1">IF(B133="","",step01标题尺码信息!$S$2)</f>
        <v/>
      </c>
      <c r="HH133" t="str">
        <f ca="1" t="shared" ref="HH133:HH164" si="107">IF(B133="","","USD")</f>
        <v/>
      </c>
      <c r="HI133" t="str">
        <f ca="1" t="shared" ref="HI133:HI164" si="108">IF(B133="","","NEW")</f>
        <v/>
      </c>
      <c r="HL133" t="str">
        <f ca="1" t="shared" ref="HL133:HL164" si="109">IF(B133="","","10")</f>
        <v/>
      </c>
      <c r="IA133" t="str">
        <f ca="1" t="shared" ref="IA133:IA164" si="110">IF(B133="","","Migrated Template")</f>
        <v/>
      </c>
    </row>
    <row r="134" spans="1:235">
      <c r="A134" t="str">
        <f ca="1">IF(B134="","",step01标题尺码信息!$B$3)</f>
        <v/>
      </c>
      <c r="B134" t="str">
        <f ca="1">IF(step01标题尺码信息!G136="","",step01标题尺码信息!G136)</f>
        <v/>
      </c>
      <c r="C134" t="str">
        <f ca="1">IF(B134="","",step01标题尺码信息!$E$3)</f>
        <v/>
      </c>
      <c r="D134" t="str">
        <f ca="1" t="shared" si="92"/>
        <v/>
      </c>
      <c r="E134" t="str">
        <f ca="1">IF(B134="","",VLOOKUP(B134,step01标题尺码信息!G:P,4,0))</f>
        <v/>
      </c>
      <c r="H134" t="str">
        <f ca="1">IF(B134="","",step01标题尺码信息!$R$19)</f>
        <v/>
      </c>
      <c r="I134" t="str">
        <f ca="1" t="shared" si="93"/>
        <v/>
      </c>
      <c r="M134" t="str">
        <f ca="1" t="shared" si="94"/>
        <v/>
      </c>
      <c r="U134" t="str">
        <f ca="1">IF(B134="","",step01标题尺码信息!$S$1)</f>
        <v/>
      </c>
      <c r="V134" t="str">
        <f ca="1" t="shared" si="95"/>
        <v/>
      </c>
      <c r="W134" t="str">
        <f ca="1">IF(B134="","",step01标题尺码信息!$V$1)</f>
        <v/>
      </c>
      <c r="X134" t="str">
        <f ca="1">IF(B134="","",step01标题尺码信息!$V$2)</f>
        <v/>
      </c>
      <c r="Y134" t="str">
        <f ca="1" t="shared" si="96"/>
        <v/>
      </c>
      <c r="Z134" t="str">
        <f ca="1" t="shared" si="97"/>
        <v/>
      </c>
      <c r="AA134" t="str">
        <f ca="1">IF(B134="","",IF(CB134="Parent","",VLOOKUP(B134,step01标题尺码信息!G:P,9,0)))</f>
        <v/>
      </c>
      <c r="AG134" t="str">
        <f ca="1" t="shared" ref="AG134:AG165" si="111">IF(B134="","","Regular")</f>
        <v/>
      </c>
      <c r="AH134" t="str">
        <f ca="1" t="shared" ref="AH134:AH165" si="112">IF(B134="","","Regular")</f>
        <v/>
      </c>
      <c r="AI134" t="str">
        <f ca="1">IF(OR(B134="",VLOOKUP(BH134,step02图片链接!B:E,4,0)=""),"",VLOOKUP(BH134,step02图片链接!B:E,4,0))</f>
        <v/>
      </c>
      <c r="AJ134" t="str">
        <f ca="1">IF(OR(B134="",VLOOKUP(BH134,step02图片链接!B:G,6,0)=""),"",VLOOKUP(BH134,step02图片链接!B:G,6,0))</f>
        <v/>
      </c>
      <c r="AK134" t="str">
        <f ca="1">IF(OR(B134="",VLOOKUP(BH134,step02图片链接!B:H,7,0)=""),"",VLOOKUP(BH134,step02图片链接!B:H,7,0))</f>
        <v/>
      </c>
      <c r="AL134" t="str">
        <f ca="1">IF(OR(B134="",VLOOKUP(BH134,step02图片链接!B:I,8,0)=""),"",VLOOKUP(BH134,step02图片链接!B:I,8,0))</f>
        <v/>
      </c>
      <c r="AM134" t="str">
        <f ca="1">IF(OR(B134="",VLOOKUP(BH134,step02图片链接!B:J,9,0)=""),"",VLOOKUP(BH134,step02图片链接!B:J,9,0))</f>
        <v/>
      </c>
      <c r="AN134" t="str">
        <f ca="1">IF(OR(B134="",VLOOKUP(BH134,step02图片链接!B:K,10,0)=""),"",VLOOKUP(BH134,step02图片链接!B:K,10,0))</f>
        <v/>
      </c>
      <c r="AO134" t="str">
        <f ca="1">IF(OR(B134="",VLOOKUP(BH134,step02图片链接!B:L,11,0)=""),"",VLOOKUP(BH134,step02图片链接!B:L,11,0))</f>
        <v/>
      </c>
      <c r="AP134" t="str">
        <f ca="1">IF(OR(B134="",VLOOKUP(BH134,step02图片链接!B:M,12,0)=""),"",VLOOKUP(BH134,step02图片链接!B:M,12,0))</f>
        <v/>
      </c>
      <c r="AQ134" t="str">
        <f ca="1">IF(OR(B134="",VLOOKUP(BH134,step02图片链接!B:N,13,0)=""),"",VLOOKUP(BH134,step02图片链接!B:N,13,0))</f>
        <v/>
      </c>
      <c r="AS134" t="str">
        <f ca="1" t="shared" ref="AS134:AS165" si="113">IF(AT134="","","Child")</f>
        <v/>
      </c>
      <c r="AT134" t="str">
        <f ca="1" t="shared" ref="AT134:AT165" si="114">IF(B134="","",$B$4)</f>
        <v/>
      </c>
      <c r="AU134" t="str">
        <f ca="1" t="shared" si="98"/>
        <v/>
      </c>
      <c r="AV134" t="str">
        <f ca="1">IF(B134="","",step01标题尺码信息!$T$36)</f>
        <v/>
      </c>
      <c r="AZ134" t="str">
        <f ca="1">IF(B134="","",step01标题尺码信息!$S$41)</f>
        <v/>
      </c>
      <c r="BA134" t="str">
        <f ca="1">IF(B134="","",step01标题尺码信息!$S$43)</f>
        <v/>
      </c>
      <c r="BB134" t="str">
        <f ca="1">IF(B134="","",step01标题尺码信息!$S$45)</f>
        <v/>
      </c>
      <c r="BC134" t="str">
        <f ca="1">IF(B134="","",step01标题尺码信息!$S$47)</f>
        <v/>
      </c>
      <c r="BD134" t="str">
        <f ca="1">IF(B134="","",step01标题尺码信息!$S$49)</f>
        <v/>
      </c>
      <c r="BE134" t="str">
        <f ca="1">IF(B134="","",step01标题尺码信息!$S$53)</f>
        <v/>
      </c>
      <c r="BH134" t="str">
        <f ca="1">IF(B134="","",IF(DX134="Parent","",VLOOKUP(B134,step01标题尺码信息!G:P,7,0)))</f>
        <v/>
      </c>
      <c r="BI134" t="str">
        <f ca="1">IF(B134="","",IF(DX134="Parent","",VLOOKUP(B134,step01标题尺码信息!G:P,8,0)))</f>
        <v/>
      </c>
      <c r="BK134" t="str">
        <f ca="1" t="shared" si="99"/>
        <v/>
      </c>
      <c r="BL134" t="str">
        <f ca="1" t="shared" si="100"/>
        <v/>
      </c>
      <c r="BO134" t="str">
        <f ca="1" t="shared" si="101"/>
        <v/>
      </c>
      <c r="BR134" t="str">
        <f ca="1">IF(B134="","",IF(AS134="Parent","",VLOOKUP(B134,step01标题尺码信息!G:P,9,0)))</f>
        <v/>
      </c>
      <c r="CY134" t="str">
        <f ca="1" t="shared" si="102"/>
        <v/>
      </c>
      <c r="DG134" t="str">
        <f ca="1">IF(B134="","",step01标题尺码信息!$T$30)</f>
        <v/>
      </c>
      <c r="DH134" t="str">
        <f ca="1" t="shared" si="103"/>
        <v/>
      </c>
      <c r="DN134" t="str">
        <f ca="1" t="shared" si="104"/>
        <v/>
      </c>
      <c r="DW134" t="str">
        <f ca="1" t="shared" si="105"/>
        <v/>
      </c>
      <c r="ER134" t="str">
        <f ca="1">IF(B134="","",step01标题尺码信息!$T$37)</f>
        <v/>
      </c>
      <c r="ES134" t="str">
        <f ca="1" t="shared" si="106"/>
        <v/>
      </c>
      <c r="HF134" t="str">
        <f ca="1">IF(B134="","",step01标题尺码信息!$S$2)</f>
        <v/>
      </c>
      <c r="HH134" t="str">
        <f ca="1" t="shared" si="107"/>
        <v/>
      </c>
      <c r="HI134" t="str">
        <f ca="1" t="shared" si="108"/>
        <v/>
      </c>
      <c r="HL134" t="str">
        <f ca="1" t="shared" si="109"/>
        <v/>
      </c>
      <c r="IA134" t="str">
        <f ca="1" t="shared" si="110"/>
        <v/>
      </c>
    </row>
    <row r="135" spans="1:235">
      <c r="A135" t="str">
        <f ca="1">IF(B135="","",step01标题尺码信息!$B$3)</f>
        <v/>
      </c>
      <c r="B135" t="str">
        <f ca="1">IF(step01标题尺码信息!G137="","",step01标题尺码信息!G137)</f>
        <v/>
      </c>
      <c r="C135" t="str">
        <f ca="1">IF(B135="","",step01标题尺码信息!$E$3)</f>
        <v/>
      </c>
      <c r="D135" t="str">
        <f ca="1" t="shared" si="92"/>
        <v/>
      </c>
      <c r="E135" t="str">
        <f ca="1">IF(B135="","",VLOOKUP(B135,step01标题尺码信息!G:P,4,0))</f>
        <v/>
      </c>
      <c r="H135" t="str">
        <f ca="1">IF(B135="","",step01标题尺码信息!$R$19)</f>
        <v/>
      </c>
      <c r="I135" t="str">
        <f ca="1" t="shared" si="93"/>
        <v/>
      </c>
      <c r="M135" t="str">
        <f ca="1" t="shared" si="94"/>
        <v/>
      </c>
      <c r="U135" t="str">
        <f ca="1">IF(B135="","",step01标题尺码信息!$S$1)</f>
        <v/>
      </c>
      <c r="V135" t="str">
        <f ca="1" t="shared" si="95"/>
        <v/>
      </c>
      <c r="W135" t="str">
        <f ca="1">IF(B135="","",step01标题尺码信息!$V$1)</f>
        <v/>
      </c>
      <c r="X135" t="str">
        <f ca="1">IF(B135="","",step01标题尺码信息!$V$2)</f>
        <v/>
      </c>
      <c r="Y135" t="str">
        <f ca="1" t="shared" si="96"/>
        <v/>
      </c>
      <c r="Z135" t="str">
        <f ca="1" t="shared" si="97"/>
        <v/>
      </c>
      <c r="AA135" t="str">
        <f ca="1">IF(B135="","",IF(CB135="Parent","",VLOOKUP(B135,step01标题尺码信息!G:P,9,0)))</f>
        <v/>
      </c>
      <c r="AG135" t="str">
        <f ca="1" t="shared" si="111"/>
        <v/>
      </c>
      <c r="AH135" t="str">
        <f ca="1" t="shared" si="112"/>
        <v/>
      </c>
      <c r="AI135" t="str">
        <f ca="1">IF(OR(B135="",VLOOKUP(BH135,step02图片链接!B:E,4,0)=""),"",VLOOKUP(BH135,step02图片链接!B:E,4,0))</f>
        <v/>
      </c>
      <c r="AJ135" t="str">
        <f ca="1">IF(OR(B135="",VLOOKUP(BH135,step02图片链接!B:G,6,0)=""),"",VLOOKUP(BH135,step02图片链接!B:G,6,0))</f>
        <v/>
      </c>
      <c r="AK135" t="str">
        <f ca="1">IF(OR(B135="",VLOOKUP(BH135,step02图片链接!B:H,7,0)=""),"",VLOOKUP(BH135,step02图片链接!B:H,7,0))</f>
        <v/>
      </c>
      <c r="AL135" t="str">
        <f ca="1">IF(OR(B135="",VLOOKUP(BH135,step02图片链接!B:I,8,0)=""),"",VLOOKUP(BH135,step02图片链接!B:I,8,0))</f>
        <v/>
      </c>
      <c r="AM135" t="str">
        <f ca="1">IF(OR(B135="",VLOOKUP(BH135,step02图片链接!B:J,9,0)=""),"",VLOOKUP(BH135,step02图片链接!B:J,9,0))</f>
        <v/>
      </c>
      <c r="AN135" t="str">
        <f ca="1">IF(OR(B135="",VLOOKUP(BH135,step02图片链接!B:K,10,0)=""),"",VLOOKUP(BH135,step02图片链接!B:K,10,0))</f>
        <v/>
      </c>
      <c r="AO135" t="str">
        <f ca="1">IF(OR(B135="",VLOOKUP(BH135,step02图片链接!B:L,11,0)=""),"",VLOOKUP(BH135,step02图片链接!B:L,11,0))</f>
        <v/>
      </c>
      <c r="AP135" t="str">
        <f ca="1">IF(OR(B135="",VLOOKUP(BH135,step02图片链接!B:M,12,0)=""),"",VLOOKUP(BH135,step02图片链接!B:M,12,0))</f>
        <v/>
      </c>
      <c r="AQ135" t="str">
        <f ca="1">IF(OR(B135="",VLOOKUP(BH135,step02图片链接!B:N,13,0)=""),"",VLOOKUP(BH135,step02图片链接!B:N,13,0))</f>
        <v/>
      </c>
      <c r="AS135" t="str">
        <f ca="1" t="shared" si="113"/>
        <v/>
      </c>
      <c r="AT135" t="str">
        <f ca="1" t="shared" si="114"/>
        <v/>
      </c>
      <c r="AU135" t="str">
        <f ca="1" t="shared" si="98"/>
        <v/>
      </c>
      <c r="AV135" t="str">
        <f ca="1">IF(B135="","",step01标题尺码信息!$T$36)</f>
        <v/>
      </c>
      <c r="AZ135" t="str">
        <f ca="1">IF(B135="","",step01标题尺码信息!$S$41)</f>
        <v/>
      </c>
      <c r="BA135" t="str">
        <f ca="1">IF(B135="","",step01标题尺码信息!$S$43)</f>
        <v/>
      </c>
      <c r="BB135" t="str">
        <f ca="1">IF(B135="","",step01标题尺码信息!$S$45)</f>
        <v/>
      </c>
      <c r="BC135" t="str">
        <f ca="1">IF(B135="","",step01标题尺码信息!$S$47)</f>
        <v/>
      </c>
      <c r="BD135" t="str">
        <f ca="1">IF(B135="","",step01标题尺码信息!$S$49)</f>
        <v/>
      </c>
      <c r="BE135" t="str">
        <f ca="1">IF(B135="","",step01标题尺码信息!$S$53)</f>
        <v/>
      </c>
      <c r="BH135" t="str">
        <f ca="1">IF(B135="","",IF(DX135="Parent","",VLOOKUP(B135,step01标题尺码信息!G:P,7,0)))</f>
        <v/>
      </c>
      <c r="BI135" t="str">
        <f ca="1">IF(B135="","",IF(DX135="Parent","",VLOOKUP(B135,step01标题尺码信息!G:P,8,0)))</f>
        <v/>
      </c>
      <c r="BK135" t="str">
        <f ca="1" t="shared" si="99"/>
        <v/>
      </c>
      <c r="BL135" t="str">
        <f ca="1" t="shared" si="100"/>
        <v/>
      </c>
      <c r="BO135" t="str">
        <f ca="1" t="shared" si="101"/>
        <v/>
      </c>
      <c r="BR135" t="str">
        <f ca="1">IF(B135="","",IF(AS135="Parent","",VLOOKUP(B135,step01标题尺码信息!G:P,9,0)))</f>
        <v/>
      </c>
      <c r="CY135" t="str">
        <f ca="1" t="shared" si="102"/>
        <v/>
      </c>
      <c r="DG135" t="str">
        <f ca="1">IF(B135="","",step01标题尺码信息!$T$30)</f>
        <v/>
      </c>
      <c r="DH135" t="str">
        <f ca="1" t="shared" si="103"/>
        <v/>
      </c>
      <c r="DN135" t="str">
        <f ca="1" t="shared" si="104"/>
        <v/>
      </c>
      <c r="DW135" t="str">
        <f ca="1" t="shared" si="105"/>
        <v/>
      </c>
      <c r="ER135" t="str">
        <f ca="1">IF(B135="","",step01标题尺码信息!$T$37)</f>
        <v/>
      </c>
      <c r="ES135" t="str">
        <f ca="1" t="shared" si="106"/>
        <v/>
      </c>
      <c r="HF135" t="str">
        <f ca="1">IF(B135="","",step01标题尺码信息!$S$2)</f>
        <v/>
      </c>
      <c r="HH135" t="str">
        <f ca="1" t="shared" si="107"/>
        <v/>
      </c>
      <c r="HI135" t="str">
        <f ca="1" t="shared" si="108"/>
        <v/>
      </c>
      <c r="HL135" t="str">
        <f ca="1" t="shared" si="109"/>
        <v/>
      </c>
      <c r="IA135" t="str">
        <f ca="1" t="shared" si="110"/>
        <v/>
      </c>
    </row>
    <row r="136" spans="1:235">
      <c r="A136" t="str">
        <f ca="1">IF(B136="","",step01标题尺码信息!$B$3)</f>
        <v/>
      </c>
      <c r="B136" t="str">
        <f ca="1">IF(step01标题尺码信息!G138="","",step01标题尺码信息!G138)</f>
        <v/>
      </c>
      <c r="C136" t="str">
        <f ca="1">IF(B136="","",step01标题尺码信息!$E$3)</f>
        <v/>
      </c>
      <c r="D136" t="str">
        <f ca="1" t="shared" si="92"/>
        <v/>
      </c>
      <c r="E136" t="str">
        <f ca="1">IF(B136="","",VLOOKUP(B136,step01标题尺码信息!G:P,4,0))</f>
        <v/>
      </c>
      <c r="H136" t="str">
        <f ca="1">IF(B136="","",step01标题尺码信息!$R$19)</f>
        <v/>
      </c>
      <c r="I136" t="str">
        <f ca="1" t="shared" si="93"/>
        <v/>
      </c>
      <c r="M136" t="str">
        <f ca="1" t="shared" si="94"/>
        <v/>
      </c>
      <c r="U136" t="str">
        <f ca="1">IF(B136="","",step01标题尺码信息!$S$1)</f>
        <v/>
      </c>
      <c r="V136" t="str">
        <f ca="1" t="shared" si="95"/>
        <v/>
      </c>
      <c r="W136" t="str">
        <f ca="1">IF(B136="","",step01标题尺码信息!$V$1)</f>
        <v/>
      </c>
      <c r="X136" t="str">
        <f ca="1">IF(B136="","",step01标题尺码信息!$V$2)</f>
        <v/>
      </c>
      <c r="Y136" t="str">
        <f ca="1" t="shared" si="96"/>
        <v/>
      </c>
      <c r="Z136" t="str">
        <f ca="1" t="shared" si="97"/>
        <v/>
      </c>
      <c r="AA136" t="str">
        <f ca="1">IF(B136="","",IF(CB136="Parent","",VLOOKUP(B136,step01标题尺码信息!G:P,9,0)))</f>
        <v/>
      </c>
      <c r="AG136" t="str">
        <f ca="1" t="shared" si="111"/>
        <v/>
      </c>
      <c r="AH136" t="str">
        <f ca="1" t="shared" si="112"/>
        <v/>
      </c>
      <c r="AI136" t="str">
        <f ca="1">IF(OR(B136="",VLOOKUP(BH136,step02图片链接!B:E,4,0)=""),"",VLOOKUP(BH136,step02图片链接!B:E,4,0))</f>
        <v/>
      </c>
      <c r="AJ136" t="str">
        <f ca="1">IF(OR(B136="",VLOOKUP(BH136,step02图片链接!B:G,6,0)=""),"",VLOOKUP(BH136,step02图片链接!B:G,6,0))</f>
        <v/>
      </c>
      <c r="AK136" t="str">
        <f ca="1">IF(OR(B136="",VLOOKUP(BH136,step02图片链接!B:H,7,0)=""),"",VLOOKUP(BH136,step02图片链接!B:H,7,0))</f>
        <v/>
      </c>
      <c r="AL136" t="str">
        <f ca="1">IF(OR(B136="",VLOOKUP(BH136,step02图片链接!B:I,8,0)=""),"",VLOOKUP(BH136,step02图片链接!B:I,8,0))</f>
        <v/>
      </c>
      <c r="AM136" t="str">
        <f ca="1">IF(OR(B136="",VLOOKUP(BH136,step02图片链接!B:J,9,0)=""),"",VLOOKUP(BH136,step02图片链接!B:J,9,0))</f>
        <v/>
      </c>
      <c r="AN136" t="str">
        <f ca="1">IF(OR(B136="",VLOOKUP(BH136,step02图片链接!B:K,10,0)=""),"",VLOOKUP(BH136,step02图片链接!B:K,10,0))</f>
        <v/>
      </c>
      <c r="AO136" t="str">
        <f ca="1">IF(OR(B136="",VLOOKUP(BH136,step02图片链接!B:L,11,0)=""),"",VLOOKUP(BH136,step02图片链接!B:L,11,0))</f>
        <v/>
      </c>
      <c r="AP136" t="str">
        <f ca="1">IF(OR(B136="",VLOOKUP(BH136,step02图片链接!B:M,12,0)=""),"",VLOOKUP(BH136,step02图片链接!B:M,12,0))</f>
        <v/>
      </c>
      <c r="AQ136" t="str">
        <f ca="1">IF(OR(B136="",VLOOKUP(BH136,step02图片链接!B:N,13,0)=""),"",VLOOKUP(BH136,step02图片链接!B:N,13,0))</f>
        <v/>
      </c>
      <c r="AS136" t="str">
        <f ca="1" t="shared" si="113"/>
        <v/>
      </c>
      <c r="AT136" t="str">
        <f ca="1" t="shared" si="114"/>
        <v/>
      </c>
      <c r="AU136" t="str">
        <f ca="1" t="shared" si="98"/>
        <v/>
      </c>
      <c r="AV136" t="str">
        <f ca="1">IF(B136="","",step01标题尺码信息!$T$36)</f>
        <v/>
      </c>
      <c r="AZ136" t="str">
        <f ca="1">IF(B136="","",step01标题尺码信息!$S$41)</f>
        <v/>
      </c>
      <c r="BA136" t="str">
        <f ca="1">IF(B136="","",step01标题尺码信息!$S$43)</f>
        <v/>
      </c>
      <c r="BB136" t="str">
        <f ca="1">IF(B136="","",step01标题尺码信息!$S$45)</f>
        <v/>
      </c>
      <c r="BC136" t="str">
        <f ca="1">IF(B136="","",step01标题尺码信息!$S$47)</f>
        <v/>
      </c>
      <c r="BD136" t="str">
        <f ca="1">IF(B136="","",step01标题尺码信息!$S$49)</f>
        <v/>
      </c>
      <c r="BE136" t="str">
        <f ca="1">IF(B136="","",step01标题尺码信息!$S$53)</f>
        <v/>
      </c>
      <c r="BH136" t="str">
        <f ca="1">IF(B136="","",IF(DX136="Parent","",VLOOKUP(B136,step01标题尺码信息!G:P,7,0)))</f>
        <v/>
      </c>
      <c r="BI136" t="str">
        <f ca="1">IF(B136="","",IF(DX136="Parent","",VLOOKUP(B136,step01标题尺码信息!G:P,8,0)))</f>
        <v/>
      </c>
      <c r="BK136" t="str">
        <f ca="1" t="shared" si="99"/>
        <v/>
      </c>
      <c r="BL136" t="str">
        <f ca="1" t="shared" si="100"/>
        <v/>
      </c>
      <c r="BO136" t="str">
        <f ca="1" t="shared" si="101"/>
        <v/>
      </c>
      <c r="BR136" t="str">
        <f ca="1">IF(B136="","",IF(AS136="Parent","",VLOOKUP(B136,step01标题尺码信息!G:P,9,0)))</f>
        <v/>
      </c>
      <c r="CY136" t="str">
        <f ca="1" t="shared" si="102"/>
        <v/>
      </c>
      <c r="DG136" t="str">
        <f ca="1">IF(B136="","",step01标题尺码信息!$T$30)</f>
        <v/>
      </c>
      <c r="DH136" t="str">
        <f ca="1" t="shared" si="103"/>
        <v/>
      </c>
      <c r="DN136" t="str">
        <f ca="1" t="shared" si="104"/>
        <v/>
      </c>
      <c r="DW136" t="str">
        <f ca="1" t="shared" si="105"/>
        <v/>
      </c>
      <c r="ER136" t="str">
        <f ca="1">IF(B136="","",step01标题尺码信息!$T$37)</f>
        <v/>
      </c>
      <c r="ES136" t="str">
        <f ca="1" t="shared" si="106"/>
        <v/>
      </c>
      <c r="HF136" t="str">
        <f ca="1">IF(B136="","",step01标题尺码信息!$S$2)</f>
        <v/>
      </c>
      <c r="HH136" t="str">
        <f ca="1" t="shared" si="107"/>
        <v/>
      </c>
      <c r="HI136" t="str">
        <f ca="1" t="shared" si="108"/>
        <v/>
      </c>
      <c r="HL136" t="str">
        <f ca="1" t="shared" si="109"/>
        <v/>
      </c>
      <c r="IA136" t="str">
        <f ca="1" t="shared" si="110"/>
        <v/>
      </c>
    </row>
    <row r="137" spans="1:235">
      <c r="A137" t="str">
        <f ca="1">IF(B137="","",step01标题尺码信息!$B$3)</f>
        <v/>
      </c>
      <c r="B137" t="str">
        <f ca="1">IF(step01标题尺码信息!G139="","",step01标题尺码信息!G139)</f>
        <v/>
      </c>
      <c r="C137" t="str">
        <f ca="1">IF(B137="","",step01标题尺码信息!$E$3)</f>
        <v/>
      </c>
      <c r="D137" t="str">
        <f ca="1" t="shared" si="92"/>
        <v/>
      </c>
      <c r="E137" t="str">
        <f ca="1">IF(B137="","",VLOOKUP(B137,step01标题尺码信息!G:P,4,0))</f>
        <v/>
      </c>
      <c r="H137" t="str">
        <f ca="1">IF(B137="","",step01标题尺码信息!$R$19)</f>
        <v/>
      </c>
      <c r="I137" t="str">
        <f ca="1" t="shared" si="93"/>
        <v/>
      </c>
      <c r="M137" t="str">
        <f ca="1" t="shared" si="94"/>
        <v/>
      </c>
      <c r="U137" t="str">
        <f ca="1">IF(B137="","",step01标题尺码信息!$S$1)</f>
        <v/>
      </c>
      <c r="V137" t="str">
        <f ca="1" t="shared" si="95"/>
        <v/>
      </c>
      <c r="W137" t="str">
        <f ca="1">IF(B137="","",step01标题尺码信息!$V$1)</f>
        <v/>
      </c>
      <c r="X137" t="str">
        <f ca="1">IF(B137="","",step01标题尺码信息!$V$2)</f>
        <v/>
      </c>
      <c r="Y137" t="str">
        <f ca="1" t="shared" si="96"/>
        <v/>
      </c>
      <c r="Z137" t="str">
        <f ca="1" t="shared" si="97"/>
        <v/>
      </c>
      <c r="AA137" t="str">
        <f ca="1">IF(B137="","",IF(CB137="Parent","",VLOOKUP(B137,step01标题尺码信息!G:P,9,0)))</f>
        <v/>
      </c>
      <c r="AG137" t="str">
        <f ca="1" t="shared" si="111"/>
        <v/>
      </c>
      <c r="AH137" t="str">
        <f ca="1" t="shared" si="112"/>
        <v/>
      </c>
      <c r="AI137" t="str">
        <f ca="1">IF(OR(B137="",VLOOKUP(BH137,step02图片链接!B:E,4,0)=""),"",VLOOKUP(BH137,step02图片链接!B:E,4,0))</f>
        <v/>
      </c>
      <c r="AJ137" t="str">
        <f ca="1">IF(OR(B137="",VLOOKUP(BH137,step02图片链接!B:G,6,0)=""),"",VLOOKUP(BH137,step02图片链接!B:G,6,0))</f>
        <v/>
      </c>
      <c r="AK137" t="str">
        <f ca="1">IF(OR(B137="",VLOOKUP(BH137,step02图片链接!B:H,7,0)=""),"",VLOOKUP(BH137,step02图片链接!B:H,7,0))</f>
        <v/>
      </c>
      <c r="AL137" t="str">
        <f ca="1">IF(OR(B137="",VLOOKUP(BH137,step02图片链接!B:I,8,0)=""),"",VLOOKUP(BH137,step02图片链接!B:I,8,0))</f>
        <v/>
      </c>
      <c r="AM137" t="str">
        <f ca="1">IF(OR(B137="",VLOOKUP(BH137,step02图片链接!B:J,9,0)=""),"",VLOOKUP(BH137,step02图片链接!B:J,9,0))</f>
        <v/>
      </c>
      <c r="AN137" t="str">
        <f ca="1">IF(OR(B137="",VLOOKUP(BH137,step02图片链接!B:K,10,0)=""),"",VLOOKUP(BH137,step02图片链接!B:K,10,0))</f>
        <v/>
      </c>
      <c r="AO137" t="str">
        <f ca="1">IF(OR(B137="",VLOOKUP(BH137,step02图片链接!B:L,11,0)=""),"",VLOOKUP(BH137,step02图片链接!B:L,11,0))</f>
        <v/>
      </c>
      <c r="AP137" t="str">
        <f ca="1">IF(OR(B137="",VLOOKUP(BH137,step02图片链接!B:M,12,0)=""),"",VLOOKUP(BH137,step02图片链接!B:M,12,0))</f>
        <v/>
      </c>
      <c r="AQ137" t="str">
        <f ca="1">IF(OR(B137="",VLOOKUP(BH137,step02图片链接!B:N,13,0)=""),"",VLOOKUP(BH137,step02图片链接!B:N,13,0))</f>
        <v/>
      </c>
      <c r="AS137" t="str">
        <f ca="1" t="shared" si="113"/>
        <v/>
      </c>
      <c r="AT137" t="str">
        <f ca="1" t="shared" si="114"/>
        <v/>
      </c>
      <c r="AU137" t="str">
        <f ca="1" t="shared" si="98"/>
        <v/>
      </c>
      <c r="AV137" t="str">
        <f ca="1">IF(B137="","",step01标题尺码信息!$T$36)</f>
        <v/>
      </c>
      <c r="AZ137" t="str">
        <f ca="1">IF(B137="","",step01标题尺码信息!$S$41)</f>
        <v/>
      </c>
      <c r="BA137" t="str">
        <f ca="1">IF(B137="","",step01标题尺码信息!$S$43)</f>
        <v/>
      </c>
      <c r="BB137" t="str">
        <f ca="1">IF(B137="","",step01标题尺码信息!$S$45)</f>
        <v/>
      </c>
      <c r="BC137" t="str">
        <f ca="1">IF(B137="","",step01标题尺码信息!$S$47)</f>
        <v/>
      </c>
      <c r="BD137" t="str">
        <f ca="1">IF(B137="","",step01标题尺码信息!$S$49)</f>
        <v/>
      </c>
      <c r="BE137" t="str">
        <f ca="1">IF(B137="","",step01标题尺码信息!$S$53)</f>
        <v/>
      </c>
      <c r="BH137" t="str">
        <f ca="1">IF(B137="","",IF(DX137="Parent","",VLOOKUP(B137,step01标题尺码信息!G:P,7,0)))</f>
        <v/>
      </c>
      <c r="BI137" t="str">
        <f ca="1">IF(B137="","",IF(DX137="Parent","",VLOOKUP(B137,step01标题尺码信息!G:P,8,0)))</f>
        <v/>
      </c>
      <c r="BK137" t="str">
        <f ca="1" t="shared" si="99"/>
        <v/>
      </c>
      <c r="BL137" t="str">
        <f ca="1" t="shared" si="100"/>
        <v/>
      </c>
      <c r="BO137" t="str">
        <f ca="1" t="shared" si="101"/>
        <v/>
      </c>
      <c r="BR137" t="str">
        <f ca="1">IF(B137="","",IF(AS137="Parent","",VLOOKUP(B137,step01标题尺码信息!G:P,9,0)))</f>
        <v/>
      </c>
      <c r="CY137" t="str">
        <f ca="1" t="shared" si="102"/>
        <v/>
      </c>
      <c r="DG137" t="str">
        <f ca="1">IF(B137="","",step01标题尺码信息!$T$30)</f>
        <v/>
      </c>
      <c r="DH137" t="str">
        <f ca="1" t="shared" si="103"/>
        <v/>
      </c>
      <c r="DN137" t="str">
        <f ca="1" t="shared" si="104"/>
        <v/>
      </c>
      <c r="DW137" t="str">
        <f ca="1" t="shared" si="105"/>
        <v/>
      </c>
      <c r="ER137" t="str">
        <f ca="1">IF(B137="","",step01标题尺码信息!$T$37)</f>
        <v/>
      </c>
      <c r="ES137" t="str">
        <f ca="1" t="shared" si="106"/>
        <v/>
      </c>
      <c r="HF137" t="str">
        <f ca="1">IF(B137="","",step01标题尺码信息!$S$2)</f>
        <v/>
      </c>
      <c r="HH137" t="str">
        <f ca="1" t="shared" si="107"/>
        <v/>
      </c>
      <c r="HI137" t="str">
        <f ca="1" t="shared" si="108"/>
        <v/>
      </c>
      <c r="HL137" t="str">
        <f ca="1" t="shared" si="109"/>
        <v/>
      </c>
      <c r="IA137" t="str">
        <f ca="1" t="shared" si="110"/>
        <v/>
      </c>
    </row>
    <row r="138" spans="1:235">
      <c r="A138" t="str">
        <f ca="1">IF(B138="","",step01标题尺码信息!$B$3)</f>
        <v/>
      </c>
      <c r="B138" t="str">
        <f ca="1">IF(step01标题尺码信息!G140="","",step01标题尺码信息!G140)</f>
        <v/>
      </c>
      <c r="C138" t="str">
        <f ca="1">IF(B138="","",step01标题尺码信息!$E$3)</f>
        <v/>
      </c>
      <c r="D138" t="str">
        <f ca="1" t="shared" si="92"/>
        <v/>
      </c>
      <c r="E138" t="str">
        <f ca="1">IF(B138="","",VLOOKUP(B138,step01标题尺码信息!G:P,4,0))</f>
        <v/>
      </c>
      <c r="H138" t="str">
        <f ca="1">IF(B138="","",step01标题尺码信息!$R$19)</f>
        <v/>
      </c>
      <c r="I138" t="str">
        <f ca="1" t="shared" si="93"/>
        <v/>
      </c>
      <c r="M138" t="str">
        <f ca="1" t="shared" si="94"/>
        <v/>
      </c>
      <c r="U138" t="str">
        <f ca="1">IF(B138="","",step01标题尺码信息!$S$1)</f>
        <v/>
      </c>
      <c r="V138" t="str">
        <f ca="1" t="shared" si="95"/>
        <v/>
      </c>
      <c r="W138" t="str">
        <f ca="1">IF(B138="","",step01标题尺码信息!$V$1)</f>
        <v/>
      </c>
      <c r="X138" t="str">
        <f ca="1">IF(B138="","",step01标题尺码信息!$V$2)</f>
        <v/>
      </c>
      <c r="Y138" t="str">
        <f ca="1" t="shared" si="96"/>
        <v/>
      </c>
      <c r="Z138" t="str">
        <f ca="1" t="shared" si="97"/>
        <v/>
      </c>
      <c r="AA138" t="str">
        <f ca="1">IF(B138="","",IF(CB138="Parent","",VLOOKUP(B138,step01标题尺码信息!G:P,9,0)))</f>
        <v/>
      </c>
      <c r="AG138" t="str">
        <f ca="1" t="shared" si="111"/>
        <v/>
      </c>
      <c r="AH138" t="str">
        <f ca="1" t="shared" si="112"/>
        <v/>
      </c>
      <c r="AI138" t="str">
        <f ca="1">IF(OR(B138="",VLOOKUP(BH138,step02图片链接!B:E,4,0)=""),"",VLOOKUP(BH138,step02图片链接!B:E,4,0))</f>
        <v/>
      </c>
      <c r="AJ138" t="str">
        <f ca="1">IF(OR(B138="",VLOOKUP(BH138,step02图片链接!B:G,6,0)=""),"",VLOOKUP(BH138,step02图片链接!B:G,6,0))</f>
        <v/>
      </c>
      <c r="AK138" t="str">
        <f ca="1">IF(OR(B138="",VLOOKUP(BH138,step02图片链接!B:H,7,0)=""),"",VLOOKUP(BH138,step02图片链接!B:H,7,0))</f>
        <v/>
      </c>
      <c r="AL138" t="str">
        <f ca="1">IF(OR(B138="",VLOOKUP(BH138,step02图片链接!B:I,8,0)=""),"",VLOOKUP(BH138,step02图片链接!B:I,8,0))</f>
        <v/>
      </c>
      <c r="AM138" t="str">
        <f ca="1">IF(OR(B138="",VLOOKUP(BH138,step02图片链接!B:J,9,0)=""),"",VLOOKUP(BH138,step02图片链接!B:J,9,0))</f>
        <v/>
      </c>
      <c r="AN138" t="str">
        <f ca="1">IF(OR(B138="",VLOOKUP(BH138,step02图片链接!B:K,10,0)=""),"",VLOOKUP(BH138,step02图片链接!B:K,10,0))</f>
        <v/>
      </c>
      <c r="AO138" t="str">
        <f ca="1">IF(OR(B138="",VLOOKUP(BH138,step02图片链接!B:L,11,0)=""),"",VLOOKUP(BH138,step02图片链接!B:L,11,0))</f>
        <v/>
      </c>
      <c r="AP138" t="str">
        <f ca="1">IF(OR(B138="",VLOOKUP(BH138,step02图片链接!B:M,12,0)=""),"",VLOOKUP(BH138,step02图片链接!B:M,12,0))</f>
        <v/>
      </c>
      <c r="AQ138" t="str">
        <f ca="1">IF(OR(B138="",VLOOKUP(BH138,step02图片链接!B:N,13,0)=""),"",VLOOKUP(BH138,step02图片链接!B:N,13,0))</f>
        <v/>
      </c>
      <c r="AS138" t="str">
        <f ca="1" t="shared" si="113"/>
        <v/>
      </c>
      <c r="AT138" t="str">
        <f ca="1" t="shared" si="114"/>
        <v/>
      </c>
      <c r="AU138" t="str">
        <f ca="1" t="shared" si="98"/>
        <v/>
      </c>
      <c r="AV138" t="str">
        <f ca="1">IF(B138="","",step01标题尺码信息!$T$36)</f>
        <v/>
      </c>
      <c r="AZ138" t="str">
        <f ca="1">IF(B138="","",step01标题尺码信息!$S$41)</f>
        <v/>
      </c>
      <c r="BA138" t="str">
        <f ca="1">IF(B138="","",step01标题尺码信息!$S$43)</f>
        <v/>
      </c>
      <c r="BB138" t="str">
        <f ca="1">IF(B138="","",step01标题尺码信息!$S$45)</f>
        <v/>
      </c>
      <c r="BC138" t="str">
        <f ca="1">IF(B138="","",step01标题尺码信息!$S$47)</f>
        <v/>
      </c>
      <c r="BD138" t="str">
        <f ca="1">IF(B138="","",step01标题尺码信息!$S$49)</f>
        <v/>
      </c>
      <c r="BE138" t="str">
        <f ca="1">IF(B138="","",step01标题尺码信息!$S$53)</f>
        <v/>
      </c>
      <c r="BH138" t="str">
        <f ca="1">IF(B138="","",IF(DX138="Parent","",VLOOKUP(B138,step01标题尺码信息!G:P,7,0)))</f>
        <v/>
      </c>
      <c r="BI138" t="str">
        <f ca="1">IF(B138="","",IF(DX138="Parent","",VLOOKUP(B138,step01标题尺码信息!G:P,8,0)))</f>
        <v/>
      </c>
      <c r="BK138" t="str">
        <f ca="1" t="shared" si="99"/>
        <v/>
      </c>
      <c r="BL138" t="str">
        <f ca="1" t="shared" si="100"/>
        <v/>
      </c>
      <c r="BO138" t="str">
        <f ca="1" t="shared" si="101"/>
        <v/>
      </c>
      <c r="BR138" t="str">
        <f ca="1">IF(B138="","",IF(AS138="Parent","",VLOOKUP(B138,step01标题尺码信息!G:P,9,0)))</f>
        <v/>
      </c>
      <c r="CY138" t="str">
        <f ca="1" t="shared" si="102"/>
        <v/>
      </c>
      <c r="DG138" t="str">
        <f ca="1">IF(B138="","",step01标题尺码信息!$T$30)</f>
        <v/>
      </c>
      <c r="DH138" t="str">
        <f ca="1" t="shared" si="103"/>
        <v/>
      </c>
      <c r="DN138" t="str">
        <f ca="1" t="shared" si="104"/>
        <v/>
      </c>
      <c r="DW138" t="str">
        <f ca="1" t="shared" si="105"/>
        <v/>
      </c>
      <c r="ER138" t="str">
        <f ca="1">IF(B138="","",step01标题尺码信息!$T$37)</f>
        <v/>
      </c>
      <c r="ES138" t="str">
        <f ca="1" t="shared" si="106"/>
        <v/>
      </c>
      <c r="HF138" t="str">
        <f ca="1">IF(B138="","",step01标题尺码信息!$S$2)</f>
        <v/>
      </c>
      <c r="HH138" t="str">
        <f ca="1" t="shared" si="107"/>
        <v/>
      </c>
      <c r="HI138" t="str">
        <f ca="1" t="shared" si="108"/>
        <v/>
      </c>
      <c r="HL138" t="str">
        <f ca="1" t="shared" si="109"/>
        <v/>
      </c>
      <c r="IA138" t="str">
        <f ca="1" t="shared" si="110"/>
        <v/>
      </c>
    </row>
    <row r="139" spans="1:235">
      <c r="A139" t="str">
        <f ca="1">IF(B139="","",step01标题尺码信息!$B$3)</f>
        <v/>
      </c>
      <c r="B139" t="str">
        <f ca="1">IF(step01标题尺码信息!G141="","",step01标题尺码信息!G141)</f>
        <v/>
      </c>
      <c r="C139" t="str">
        <f ca="1">IF(B139="","",step01标题尺码信息!$E$3)</f>
        <v/>
      </c>
      <c r="D139" t="str">
        <f ca="1" t="shared" si="92"/>
        <v/>
      </c>
      <c r="E139" t="str">
        <f ca="1">IF(B139="","",VLOOKUP(B139,step01标题尺码信息!G:P,4,0))</f>
        <v/>
      </c>
      <c r="H139" t="str">
        <f ca="1">IF(B139="","",step01标题尺码信息!$R$19)</f>
        <v/>
      </c>
      <c r="I139" t="str">
        <f ca="1" t="shared" si="93"/>
        <v/>
      </c>
      <c r="M139" t="str">
        <f ca="1" t="shared" si="94"/>
        <v/>
      </c>
      <c r="U139" t="str">
        <f ca="1">IF(B139="","",step01标题尺码信息!$S$1)</f>
        <v/>
      </c>
      <c r="V139" t="str">
        <f ca="1" t="shared" si="95"/>
        <v/>
      </c>
      <c r="W139" t="str">
        <f ca="1">IF(B139="","",step01标题尺码信息!$V$1)</f>
        <v/>
      </c>
      <c r="X139" t="str">
        <f ca="1">IF(B139="","",step01标题尺码信息!$V$2)</f>
        <v/>
      </c>
      <c r="Y139" t="str">
        <f ca="1" t="shared" si="96"/>
        <v/>
      </c>
      <c r="Z139" t="str">
        <f ca="1" t="shared" si="97"/>
        <v/>
      </c>
      <c r="AA139" t="str">
        <f ca="1">IF(B139="","",IF(CB139="Parent","",VLOOKUP(B139,step01标题尺码信息!G:P,9,0)))</f>
        <v/>
      </c>
      <c r="AG139" t="str">
        <f ca="1" t="shared" si="111"/>
        <v/>
      </c>
      <c r="AH139" t="str">
        <f ca="1" t="shared" si="112"/>
        <v/>
      </c>
      <c r="AI139" t="str">
        <f ca="1">IF(OR(B139="",VLOOKUP(BH139,step02图片链接!B:E,4,0)=""),"",VLOOKUP(BH139,step02图片链接!B:E,4,0))</f>
        <v/>
      </c>
      <c r="AJ139" t="str">
        <f ca="1">IF(OR(B139="",VLOOKUP(BH139,step02图片链接!B:G,6,0)=""),"",VLOOKUP(BH139,step02图片链接!B:G,6,0))</f>
        <v/>
      </c>
      <c r="AK139" t="str">
        <f ca="1">IF(OR(B139="",VLOOKUP(BH139,step02图片链接!B:H,7,0)=""),"",VLOOKUP(BH139,step02图片链接!B:H,7,0))</f>
        <v/>
      </c>
      <c r="AL139" t="str">
        <f ca="1">IF(OR(B139="",VLOOKUP(BH139,step02图片链接!B:I,8,0)=""),"",VLOOKUP(BH139,step02图片链接!B:I,8,0))</f>
        <v/>
      </c>
      <c r="AM139" t="str">
        <f ca="1">IF(OR(B139="",VLOOKUP(BH139,step02图片链接!B:J,9,0)=""),"",VLOOKUP(BH139,step02图片链接!B:J,9,0))</f>
        <v/>
      </c>
      <c r="AN139" t="str">
        <f ca="1">IF(OR(B139="",VLOOKUP(BH139,step02图片链接!B:K,10,0)=""),"",VLOOKUP(BH139,step02图片链接!B:K,10,0))</f>
        <v/>
      </c>
      <c r="AO139" t="str">
        <f ca="1">IF(OR(B139="",VLOOKUP(BH139,step02图片链接!B:L,11,0)=""),"",VLOOKUP(BH139,step02图片链接!B:L,11,0))</f>
        <v/>
      </c>
      <c r="AP139" t="str">
        <f ca="1">IF(OR(B139="",VLOOKUP(BH139,step02图片链接!B:M,12,0)=""),"",VLOOKUP(BH139,step02图片链接!B:M,12,0))</f>
        <v/>
      </c>
      <c r="AQ139" t="str">
        <f ca="1">IF(OR(B139="",VLOOKUP(BH139,step02图片链接!B:N,13,0)=""),"",VLOOKUP(BH139,step02图片链接!B:N,13,0))</f>
        <v/>
      </c>
      <c r="AS139" t="str">
        <f ca="1" t="shared" si="113"/>
        <v/>
      </c>
      <c r="AT139" t="str">
        <f ca="1" t="shared" si="114"/>
        <v/>
      </c>
      <c r="AU139" t="str">
        <f ca="1" t="shared" si="98"/>
        <v/>
      </c>
      <c r="AV139" t="str">
        <f ca="1">IF(B139="","",step01标题尺码信息!$T$36)</f>
        <v/>
      </c>
      <c r="AZ139" t="str">
        <f ca="1">IF(B139="","",step01标题尺码信息!$S$41)</f>
        <v/>
      </c>
      <c r="BA139" t="str">
        <f ca="1">IF(B139="","",step01标题尺码信息!$S$43)</f>
        <v/>
      </c>
      <c r="BB139" t="str">
        <f ca="1">IF(B139="","",step01标题尺码信息!$S$45)</f>
        <v/>
      </c>
      <c r="BC139" t="str">
        <f ca="1">IF(B139="","",step01标题尺码信息!$S$47)</f>
        <v/>
      </c>
      <c r="BD139" t="str">
        <f ca="1">IF(B139="","",step01标题尺码信息!$S$49)</f>
        <v/>
      </c>
      <c r="BE139" t="str">
        <f ca="1">IF(B139="","",step01标题尺码信息!$S$53)</f>
        <v/>
      </c>
      <c r="BH139" t="str">
        <f ca="1">IF(B139="","",IF(DX139="Parent","",VLOOKUP(B139,step01标题尺码信息!G:P,7,0)))</f>
        <v/>
      </c>
      <c r="BI139" t="str">
        <f ca="1">IF(B139="","",IF(DX139="Parent","",VLOOKUP(B139,step01标题尺码信息!G:P,8,0)))</f>
        <v/>
      </c>
      <c r="BK139" t="str">
        <f ca="1" t="shared" si="99"/>
        <v/>
      </c>
      <c r="BL139" t="str">
        <f ca="1" t="shared" si="100"/>
        <v/>
      </c>
      <c r="BO139" t="str">
        <f ca="1" t="shared" si="101"/>
        <v/>
      </c>
      <c r="BR139" t="str">
        <f ca="1">IF(B139="","",IF(AS139="Parent","",VLOOKUP(B139,step01标题尺码信息!G:P,9,0)))</f>
        <v/>
      </c>
      <c r="CY139" t="str">
        <f ca="1" t="shared" si="102"/>
        <v/>
      </c>
      <c r="DG139" t="str">
        <f ca="1">IF(B139="","",step01标题尺码信息!$T$30)</f>
        <v/>
      </c>
      <c r="DH139" t="str">
        <f ca="1" t="shared" si="103"/>
        <v/>
      </c>
      <c r="DN139" t="str">
        <f ca="1" t="shared" si="104"/>
        <v/>
      </c>
      <c r="DW139" t="str">
        <f ca="1" t="shared" si="105"/>
        <v/>
      </c>
      <c r="ER139" t="str">
        <f ca="1">IF(B139="","",step01标题尺码信息!$T$37)</f>
        <v/>
      </c>
      <c r="ES139" t="str">
        <f ca="1" t="shared" si="106"/>
        <v/>
      </c>
      <c r="HF139" t="str">
        <f ca="1">IF(B139="","",step01标题尺码信息!$S$2)</f>
        <v/>
      </c>
      <c r="HH139" t="str">
        <f ca="1" t="shared" si="107"/>
        <v/>
      </c>
      <c r="HI139" t="str">
        <f ca="1" t="shared" si="108"/>
        <v/>
      </c>
      <c r="HL139" t="str">
        <f ca="1" t="shared" si="109"/>
        <v/>
      </c>
      <c r="IA139" t="str">
        <f ca="1" t="shared" si="110"/>
        <v/>
      </c>
    </row>
    <row r="140" spans="1:235">
      <c r="A140" t="str">
        <f ca="1">IF(B140="","",step01标题尺码信息!$B$3)</f>
        <v/>
      </c>
      <c r="B140" t="str">
        <f ca="1">IF(step01标题尺码信息!G142="","",step01标题尺码信息!G142)</f>
        <v/>
      </c>
      <c r="C140" t="str">
        <f ca="1">IF(B140="","",step01标题尺码信息!$E$3)</f>
        <v/>
      </c>
      <c r="D140" t="str">
        <f ca="1" t="shared" si="92"/>
        <v/>
      </c>
      <c r="E140" t="str">
        <f ca="1">IF(B140="","",VLOOKUP(B140,step01标题尺码信息!G:P,4,0))</f>
        <v/>
      </c>
      <c r="H140" t="str">
        <f ca="1">IF(B140="","",step01标题尺码信息!$R$19)</f>
        <v/>
      </c>
      <c r="I140" t="str">
        <f ca="1" t="shared" si="93"/>
        <v/>
      </c>
      <c r="M140" t="str">
        <f ca="1" t="shared" si="94"/>
        <v/>
      </c>
      <c r="U140" t="str">
        <f ca="1">IF(B140="","",step01标题尺码信息!$S$1)</f>
        <v/>
      </c>
      <c r="V140" t="str">
        <f ca="1" t="shared" si="95"/>
        <v/>
      </c>
      <c r="W140" t="str">
        <f ca="1">IF(B140="","",step01标题尺码信息!$V$1)</f>
        <v/>
      </c>
      <c r="X140" t="str">
        <f ca="1">IF(B140="","",step01标题尺码信息!$V$2)</f>
        <v/>
      </c>
      <c r="Y140" t="str">
        <f ca="1" t="shared" si="96"/>
        <v/>
      </c>
      <c r="Z140" t="str">
        <f ca="1" t="shared" si="97"/>
        <v/>
      </c>
      <c r="AA140" t="str">
        <f ca="1">IF(B140="","",IF(CB140="Parent","",VLOOKUP(B140,step01标题尺码信息!G:P,9,0)))</f>
        <v/>
      </c>
      <c r="AG140" t="str">
        <f ca="1" t="shared" si="111"/>
        <v/>
      </c>
      <c r="AH140" t="str">
        <f ca="1" t="shared" si="112"/>
        <v/>
      </c>
      <c r="AI140" t="str">
        <f ca="1">IF(OR(B140="",VLOOKUP(BH140,step02图片链接!B:E,4,0)=""),"",VLOOKUP(BH140,step02图片链接!B:E,4,0))</f>
        <v/>
      </c>
      <c r="AJ140" t="str">
        <f ca="1">IF(OR(B140="",VLOOKUP(BH140,step02图片链接!B:G,6,0)=""),"",VLOOKUP(BH140,step02图片链接!B:G,6,0))</f>
        <v/>
      </c>
      <c r="AK140" t="str">
        <f ca="1">IF(OR(B140="",VLOOKUP(BH140,step02图片链接!B:H,7,0)=""),"",VLOOKUP(BH140,step02图片链接!B:H,7,0))</f>
        <v/>
      </c>
      <c r="AL140" t="str">
        <f ca="1">IF(OR(B140="",VLOOKUP(BH140,step02图片链接!B:I,8,0)=""),"",VLOOKUP(BH140,step02图片链接!B:I,8,0))</f>
        <v/>
      </c>
      <c r="AM140" t="str">
        <f ca="1">IF(OR(B140="",VLOOKUP(BH140,step02图片链接!B:J,9,0)=""),"",VLOOKUP(BH140,step02图片链接!B:J,9,0))</f>
        <v/>
      </c>
      <c r="AN140" t="str">
        <f ca="1">IF(OR(B140="",VLOOKUP(BH140,step02图片链接!B:K,10,0)=""),"",VLOOKUP(BH140,step02图片链接!B:K,10,0))</f>
        <v/>
      </c>
      <c r="AO140" t="str">
        <f ca="1">IF(OR(B140="",VLOOKUP(BH140,step02图片链接!B:L,11,0)=""),"",VLOOKUP(BH140,step02图片链接!B:L,11,0))</f>
        <v/>
      </c>
      <c r="AP140" t="str">
        <f ca="1">IF(OR(B140="",VLOOKUP(BH140,step02图片链接!B:M,12,0)=""),"",VLOOKUP(BH140,step02图片链接!B:M,12,0))</f>
        <v/>
      </c>
      <c r="AQ140" t="str">
        <f ca="1">IF(OR(B140="",VLOOKUP(BH140,step02图片链接!B:N,13,0)=""),"",VLOOKUP(BH140,step02图片链接!B:N,13,0))</f>
        <v/>
      </c>
      <c r="AS140" t="str">
        <f ca="1" t="shared" si="113"/>
        <v/>
      </c>
      <c r="AT140" t="str">
        <f ca="1" t="shared" si="114"/>
        <v/>
      </c>
      <c r="AU140" t="str">
        <f ca="1" t="shared" si="98"/>
        <v/>
      </c>
      <c r="AV140" t="str">
        <f ca="1">IF(B140="","",step01标题尺码信息!$T$36)</f>
        <v/>
      </c>
      <c r="AZ140" t="str">
        <f ca="1">IF(B140="","",step01标题尺码信息!$S$41)</f>
        <v/>
      </c>
      <c r="BA140" t="str">
        <f ca="1">IF(B140="","",step01标题尺码信息!$S$43)</f>
        <v/>
      </c>
      <c r="BB140" t="str">
        <f ca="1">IF(B140="","",step01标题尺码信息!$S$45)</f>
        <v/>
      </c>
      <c r="BC140" t="str">
        <f ca="1">IF(B140="","",step01标题尺码信息!$S$47)</f>
        <v/>
      </c>
      <c r="BD140" t="str">
        <f ca="1">IF(B140="","",step01标题尺码信息!$S$49)</f>
        <v/>
      </c>
      <c r="BE140" t="str">
        <f ca="1">IF(B140="","",step01标题尺码信息!$S$53)</f>
        <v/>
      </c>
      <c r="BH140" t="str">
        <f ca="1">IF(B140="","",IF(DX140="Parent","",VLOOKUP(B140,step01标题尺码信息!G:P,7,0)))</f>
        <v/>
      </c>
      <c r="BI140" t="str">
        <f ca="1">IF(B140="","",IF(DX140="Parent","",VLOOKUP(B140,step01标题尺码信息!G:P,8,0)))</f>
        <v/>
      </c>
      <c r="BK140" t="str">
        <f ca="1" t="shared" si="99"/>
        <v/>
      </c>
      <c r="BL140" t="str">
        <f ca="1" t="shared" si="100"/>
        <v/>
      </c>
      <c r="BO140" t="str">
        <f ca="1" t="shared" si="101"/>
        <v/>
      </c>
      <c r="BR140" t="str">
        <f ca="1">IF(B140="","",IF(AS140="Parent","",VLOOKUP(B140,step01标题尺码信息!G:P,9,0)))</f>
        <v/>
      </c>
      <c r="CY140" t="str">
        <f ca="1" t="shared" si="102"/>
        <v/>
      </c>
      <c r="DG140" t="str">
        <f ca="1">IF(B140="","",step01标题尺码信息!$T$30)</f>
        <v/>
      </c>
      <c r="DH140" t="str">
        <f ca="1" t="shared" si="103"/>
        <v/>
      </c>
      <c r="DN140" t="str">
        <f ca="1" t="shared" si="104"/>
        <v/>
      </c>
      <c r="DW140" t="str">
        <f ca="1" t="shared" si="105"/>
        <v/>
      </c>
      <c r="ER140" t="str">
        <f ca="1">IF(B140="","",step01标题尺码信息!$T$37)</f>
        <v/>
      </c>
      <c r="ES140" t="str">
        <f ca="1" t="shared" si="106"/>
        <v/>
      </c>
      <c r="HF140" t="str">
        <f ca="1">IF(B140="","",step01标题尺码信息!$S$2)</f>
        <v/>
      </c>
      <c r="HH140" t="str">
        <f ca="1" t="shared" si="107"/>
        <v/>
      </c>
      <c r="HI140" t="str">
        <f ca="1" t="shared" si="108"/>
        <v/>
      </c>
      <c r="HL140" t="str">
        <f ca="1" t="shared" si="109"/>
        <v/>
      </c>
      <c r="IA140" t="str">
        <f ca="1" t="shared" si="110"/>
        <v/>
      </c>
    </row>
    <row r="141" spans="1:235">
      <c r="A141" t="str">
        <f ca="1">IF(B141="","",step01标题尺码信息!$B$3)</f>
        <v/>
      </c>
      <c r="B141" t="str">
        <f ca="1">IF(step01标题尺码信息!G143="","",step01标题尺码信息!G143)</f>
        <v/>
      </c>
      <c r="C141" t="str">
        <f ca="1">IF(B141="","",step01标题尺码信息!$E$3)</f>
        <v/>
      </c>
      <c r="D141" t="str">
        <f ca="1" t="shared" si="92"/>
        <v/>
      </c>
      <c r="E141" t="str">
        <f ca="1">IF(B141="","",VLOOKUP(B141,step01标题尺码信息!G:P,4,0))</f>
        <v/>
      </c>
      <c r="H141" t="str">
        <f ca="1">IF(B141="","",step01标题尺码信息!$R$19)</f>
        <v/>
      </c>
      <c r="I141" t="str">
        <f ca="1" t="shared" si="93"/>
        <v/>
      </c>
      <c r="M141" t="str">
        <f ca="1" t="shared" si="94"/>
        <v/>
      </c>
      <c r="U141" t="str">
        <f ca="1">IF(B141="","",step01标题尺码信息!$S$1)</f>
        <v/>
      </c>
      <c r="V141" t="str">
        <f ca="1" t="shared" si="95"/>
        <v/>
      </c>
      <c r="W141" t="str">
        <f ca="1">IF(B141="","",step01标题尺码信息!$V$1)</f>
        <v/>
      </c>
      <c r="X141" t="str">
        <f ca="1">IF(B141="","",step01标题尺码信息!$V$2)</f>
        <v/>
      </c>
      <c r="Y141" t="str">
        <f ca="1" t="shared" si="96"/>
        <v/>
      </c>
      <c r="Z141" t="str">
        <f ca="1" t="shared" si="97"/>
        <v/>
      </c>
      <c r="AA141" t="str">
        <f ca="1">IF(B141="","",IF(CB141="Parent","",VLOOKUP(B141,step01标题尺码信息!G:P,9,0)))</f>
        <v/>
      </c>
      <c r="AG141" t="str">
        <f ca="1" t="shared" si="111"/>
        <v/>
      </c>
      <c r="AH141" t="str">
        <f ca="1" t="shared" si="112"/>
        <v/>
      </c>
      <c r="AI141" t="str">
        <f ca="1">IF(OR(B141="",VLOOKUP(BH141,step02图片链接!B:E,4,0)=""),"",VLOOKUP(BH141,step02图片链接!B:E,4,0))</f>
        <v/>
      </c>
      <c r="AJ141" t="str">
        <f ca="1">IF(OR(B141="",VLOOKUP(BH141,step02图片链接!B:G,6,0)=""),"",VLOOKUP(BH141,step02图片链接!B:G,6,0))</f>
        <v/>
      </c>
      <c r="AK141" t="str">
        <f ca="1">IF(OR(B141="",VLOOKUP(BH141,step02图片链接!B:H,7,0)=""),"",VLOOKUP(BH141,step02图片链接!B:H,7,0))</f>
        <v/>
      </c>
      <c r="AL141" t="str">
        <f ca="1">IF(OR(B141="",VLOOKUP(BH141,step02图片链接!B:I,8,0)=""),"",VLOOKUP(BH141,step02图片链接!B:I,8,0))</f>
        <v/>
      </c>
      <c r="AM141" t="str">
        <f ca="1">IF(OR(B141="",VLOOKUP(BH141,step02图片链接!B:J,9,0)=""),"",VLOOKUP(BH141,step02图片链接!B:J,9,0))</f>
        <v/>
      </c>
      <c r="AN141" t="str">
        <f ca="1">IF(OR(B141="",VLOOKUP(BH141,step02图片链接!B:K,10,0)=""),"",VLOOKUP(BH141,step02图片链接!B:K,10,0))</f>
        <v/>
      </c>
      <c r="AO141" t="str">
        <f ca="1">IF(OR(B141="",VLOOKUP(BH141,step02图片链接!B:L,11,0)=""),"",VLOOKUP(BH141,step02图片链接!B:L,11,0))</f>
        <v/>
      </c>
      <c r="AP141" t="str">
        <f ca="1">IF(OR(B141="",VLOOKUP(BH141,step02图片链接!B:M,12,0)=""),"",VLOOKUP(BH141,step02图片链接!B:M,12,0))</f>
        <v/>
      </c>
      <c r="AQ141" t="str">
        <f ca="1">IF(OR(B141="",VLOOKUP(BH141,step02图片链接!B:N,13,0)=""),"",VLOOKUP(BH141,step02图片链接!B:N,13,0))</f>
        <v/>
      </c>
      <c r="AS141" t="str">
        <f ca="1" t="shared" si="113"/>
        <v/>
      </c>
      <c r="AT141" t="str">
        <f ca="1" t="shared" si="114"/>
        <v/>
      </c>
      <c r="AU141" t="str">
        <f ca="1" t="shared" si="98"/>
        <v/>
      </c>
      <c r="AV141" t="str">
        <f ca="1">IF(B141="","",step01标题尺码信息!$T$36)</f>
        <v/>
      </c>
      <c r="AZ141" t="str">
        <f ca="1">IF(B141="","",step01标题尺码信息!$S$41)</f>
        <v/>
      </c>
      <c r="BA141" t="str">
        <f ca="1">IF(B141="","",step01标题尺码信息!$S$43)</f>
        <v/>
      </c>
      <c r="BB141" t="str">
        <f ca="1">IF(B141="","",step01标题尺码信息!$S$45)</f>
        <v/>
      </c>
      <c r="BC141" t="str">
        <f ca="1">IF(B141="","",step01标题尺码信息!$S$47)</f>
        <v/>
      </c>
      <c r="BD141" t="str">
        <f ca="1">IF(B141="","",step01标题尺码信息!$S$49)</f>
        <v/>
      </c>
      <c r="BE141" t="str">
        <f ca="1">IF(B141="","",step01标题尺码信息!$S$53)</f>
        <v/>
      </c>
      <c r="BH141" t="str">
        <f ca="1">IF(B141="","",IF(DX141="Parent","",VLOOKUP(B141,step01标题尺码信息!G:P,7,0)))</f>
        <v/>
      </c>
      <c r="BI141" t="str">
        <f ca="1">IF(B141="","",IF(DX141="Parent","",VLOOKUP(B141,step01标题尺码信息!G:P,8,0)))</f>
        <v/>
      </c>
      <c r="BK141" t="str">
        <f ca="1" t="shared" si="99"/>
        <v/>
      </c>
      <c r="BL141" t="str">
        <f ca="1" t="shared" si="100"/>
        <v/>
      </c>
      <c r="BO141" t="str">
        <f ca="1" t="shared" si="101"/>
        <v/>
      </c>
      <c r="BR141" t="str">
        <f ca="1">IF(B141="","",IF(AS141="Parent","",VLOOKUP(B141,step01标题尺码信息!G:P,9,0)))</f>
        <v/>
      </c>
      <c r="CY141" t="str">
        <f ca="1" t="shared" si="102"/>
        <v/>
      </c>
      <c r="DG141" t="str">
        <f ca="1">IF(B141="","",step01标题尺码信息!$T$30)</f>
        <v/>
      </c>
      <c r="DH141" t="str">
        <f ca="1" t="shared" si="103"/>
        <v/>
      </c>
      <c r="DN141" t="str">
        <f ca="1" t="shared" si="104"/>
        <v/>
      </c>
      <c r="DW141" t="str">
        <f ca="1" t="shared" si="105"/>
        <v/>
      </c>
      <c r="ER141" t="str">
        <f ca="1">IF(B141="","",step01标题尺码信息!$T$37)</f>
        <v/>
      </c>
      <c r="ES141" t="str">
        <f ca="1" t="shared" si="106"/>
        <v/>
      </c>
      <c r="HF141" t="str">
        <f ca="1">IF(B141="","",step01标题尺码信息!$S$2)</f>
        <v/>
      </c>
      <c r="HH141" t="str">
        <f ca="1" t="shared" si="107"/>
        <v/>
      </c>
      <c r="HI141" t="str">
        <f ca="1" t="shared" si="108"/>
        <v/>
      </c>
      <c r="HL141" t="str">
        <f ca="1" t="shared" si="109"/>
        <v/>
      </c>
      <c r="IA141" t="str">
        <f ca="1" t="shared" si="110"/>
        <v/>
      </c>
    </row>
    <row r="142" spans="1:235">
      <c r="A142" t="str">
        <f ca="1">IF(B142="","",step01标题尺码信息!$B$3)</f>
        <v/>
      </c>
      <c r="B142" t="str">
        <f ca="1">IF(step01标题尺码信息!G144="","",step01标题尺码信息!G144)</f>
        <v/>
      </c>
      <c r="C142" t="str">
        <f ca="1">IF(B142="","",step01标题尺码信息!$E$3)</f>
        <v/>
      </c>
      <c r="D142" t="str">
        <f ca="1" t="shared" si="92"/>
        <v/>
      </c>
      <c r="E142" t="str">
        <f ca="1">IF(B142="","",VLOOKUP(B142,step01标题尺码信息!G:P,4,0))</f>
        <v/>
      </c>
      <c r="H142" t="str">
        <f ca="1">IF(B142="","",step01标题尺码信息!$R$19)</f>
        <v/>
      </c>
      <c r="I142" t="str">
        <f ca="1" t="shared" si="93"/>
        <v/>
      </c>
      <c r="M142" t="str">
        <f ca="1" t="shared" si="94"/>
        <v/>
      </c>
      <c r="U142" t="str">
        <f ca="1">IF(B142="","",step01标题尺码信息!$S$1)</f>
        <v/>
      </c>
      <c r="V142" t="str">
        <f ca="1" t="shared" si="95"/>
        <v/>
      </c>
      <c r="W142" t="str">
        <f ca="1">IF(B142="","",step01标题尺码信息!$V$1)</f>
        <v/>
      </c>
      <c r="X142" t="str">
        <f ca="1">IF(B142="","",step01标题尺码信息!$V$2)</f>
        <v/>
      </c>
      <c r="Y142" t="str">
        <f ca="1" t="shared" si="96"/>
        <v/>
      </c>
      <c r="Z142" t="str">
        <f ca="1" t="shared" si="97"/>
        <v/>
      </c>
      <c r="AA142" t="str">
        <f ca="1">IF(B142="","",IF(CB142="Parent","",VLOOKUP(B142,step01标题尺码信息!G:P,9,0)))</f>
        <v/>
      </c>
      <c r="AG142" t="str">
        <f ca="1" t="shared" si="111"/>
        <v/>
      </c>
      <c r="AH142" t="str">
        <f ca="1" t="shared" si="112"/>
        <v/>
      </c>
      <c r="AI142" t="str">
        <f ca="1">IF(OR(B142="",VLOOKUP(BH142,step02图片链接!B:E,4,0)=""),"",VLOOKUP(BH142,step02图片链接!B:E,4,0))</f>
        <v/>
      </c>
      <c r="AJ142" t="str">
        <f ca="1">IF(OR(B142="",VLOOKUP(BH142,step02图片链接!B:G,6,0)=""),"",VLOOKUP(BH142,step02图片链接!B:G,6,0))</f>
        <v/>
      </c>
      <c r="AK142" t="str">
        <f ca="1">IF(OR(B142="",VLOOKUP(BH142,step02图片链接!B:H,7,0)=""),"",VLOOKUP(BH142,step02图片链接!B:H,7,0))</f>
        <v/>
      </c>
      <c r="AL142" t="str">
        <f ca="1">IF(OR(B142="",VLOOKUP(BH142,step02图片链接!B:I,8,0)=""),"",VLOOKUP(BH142,step02图片链接!B:I,8,0))</f>
        <v/>
      </c>
      <c r="AM142" t="str">
        <f ca="1">IF(OR(B142="",VLOOKUP(BH142,step02图片链接!B:J,9,0)=""),"",VLOOKUP(BH142,step02图片链接!B:J,9,0))</f>
        <v/>
      </c>
      <c r="AN142" t="str">
        <f ca="1">IF(OR(B142="",VLOOKUP(BH142,step02图片链接!B:K,10,0)=""),"",VLOOKUP(BH142,step02图片链接!B:K,10,0))</f>
        <v/>
      </c>
      <c r="AO142" t="str">
        <f ca="1">IF(OR(B142="",VLOOKUP(BH142,step02图片链接!B:L,11,0)=""),"",VLOOKUP(BH142,step02图片链接!B:L,11,0))</f>
        <v/>
      </c>
      <c r="AP142" t="str">
        <f ca="1">IF(OR(B142="",VLOOKUP(BH142,step02图片链接!B:M,12,0)=""),"",VLOOKUP(BH142,step02图片链接!B:M,12,0))</f>
        <v/>
      </c>
      <c r="AQ142" t="str">
        <f ca="1">IF(OR(B142="",VLOOKUP(BH142,step02图片链接!B:N,13,0)=""),"",VLOOKUP(BH142,step02图片链接!B:N,13,0))</f>
        <v/>
      </c>
      <c r="AS142" t="str">
        <f ca="1" t="shared" si="113"/>
        <v/>
      </c>
      <c r="AT142" t="str">
        <f ca="1" t="shared" si="114"/>
        <v/>
      </c>
      <c r="AU142" t="str">
        <f ca="1" t="shared" si="98"/>
        <v/>
      </c>
      <c r="AV142" t="str">
        <f ca="1">IF(B142="","",step01标题尺码信息!$T$36)</f>
        <v/>
      </c>
      <c r="AZ142" t="str">
        <f ca="1">IF(B142="","",step01标题尺码信息!$S$41)</f>
        <v/>
      </c>
      <c r="BA142" t="str">
        <f ca="1">IF(B142="","",step01标题尺码信息!$S$43)</f>
        <v/>
      </c>
      <c r="BB142" t="str">
        <f ca="1">IF(B142="","",step01标题尺码信息!$S$45)</f>
        <v/>
      </c>
      <c r="BC142" t="str">
        <f ca="1">IF(B142="","",step01标题尺码信息!$S$47)</f>
        <v/>
      </c>
      <c r="BD142" t="str">
        <f ca="1">IF(B142="","",step01标题尺码信息!$S$49)</f>
        <v/>
      </c>
      <c r="BE142" t="str">
        <f ca="1">IF(B142="","",step01标题尺码信息!$S$53)</f>
        <v/>
      </c>
      <c r="BH142" t="str">
        <f ca="1">IF(B142="","",IF(DX142="Parent","",VLOOKUP(B142,step01标题尺码信息!G:P,7,0)))</f>
        <v/>
      </c>
      <c r="BI142" t="str">
        <f ca="1">IF(B142="","",IF(DX142="Parent","",VLOOKUP(B142,step01标题尺码信息!G:P,8,0)))</f>
        <v/>
      </c>
      <c r="BK142" t="str">
        <f ca="1" t="shared" si="99"/>
        <v/>
      </c>
      <c r="BL142" t="str">
        <f ca="1" t="shared" si="100"/>
        <v/>
      </c>
      <c r="BO142" t="str">
        <f ca="1" t="shared" si="101"/>
        <v/>
      </c>
      <c r="BR142" t="str">
        <f ca="1">IF(B142="","",IF(AS142="Parent","",VLOOKUP(B142,step01标题尺码信息!G:P,9,0)))</f>
        <v/>
      </c>
      <c r="CY142" t="str">
        <f ca="1" t="shared" si="102"/>
        <v/>
      </c>
      <c r="DG142" t="str">
        <f ca="1">IF(B142="","",step01标题尺码信息!$T$30)</f>
        <v/>
      </c>
      <c r="DH142" t="str">
        <f ca="1" t="shared" si="103"/>
        <v/>
      </c>
      <c r="DN142" t="str">
        <f ca="1" t="shared" si="104"/>
        <v/>
      </c>
      <c r="DW142" t="str">
        <f ca="1" t="shared" si="105"/>
        <v/>
      </c>
      <c r="ER142" t="str">
        <f ca="1">IF(B142="","",step01标题尺码信息!$T$37)</f>
        <v/>
      </c>
      <c r="ES142" t="str">
        <f ca="1" t="shared" si="106"/>
        <v/>
      </c>
      <c r="HF142" t="str">
        <f ca="1">IF(B142="","",step01标题尺码信息!$S$2)</f>
        <v/>
      </c>
      <c r="HH142" t="str">
        <f ca="1" t="shared" si="107"/>
        <v/>
      </c>
      <c r="HI142" t="str">
        <f ca="1" t="shared" si="108"/>
        <v/>
      </c>
      <c r="HL142" t="str">
        <f ca="1" t="shared" si="109"/>
        <v/>
      </c>
      <c r="IA142" t="str">
        <f ca="1" t="shared" si="110"/>
        <v/>
      </c>
    </row>
    <row r="143" spans="1:235">
      <c r="A143" t="str">
        <f ca="1">IF(B143="","",step01标题尺码信息!$B$3)</f>
        <v/>
      </c>
      <c r="B143" t="str">
        <f ca="1">IF(step01标题尺码信息!G145="","",step01标题尺码信息!G145)</f>
        <v/>
      </c>
      <c r="C143" t="str">
        <f ca="1">IF(B143="","",step01标题尺码信息!$E$3)</f>
        <v/>
      </c>
      <c r="D143" t="str">
        <f ca="1" t="shared" si="92"/>
        <v/>
      </c>
      <c r="E143" t="str">
        <f ca="1">IF(B143="","",VLOOKUP(B143,step01标题尺码信息!G:P,4,0))</f>
        <v/>
      </c>
      <c r="H143" t="str">
        <f ca="1">IF(B143="","",step01标题尺码信息!$R$19)</f>
        <v/>
      </c>
      <c r="I143" t="str">
        <f ca="1" t="shared" si="93"/>
        <v/>
      </c>
      <c r="M143" t="str">
        <f ca="1" t="shared" si="94"/>
        <v/>
      </c>
      <c r="U143" t="str">
        <f ca="1">IF(B143="","",step01标题尺码信息!$S$1)</f>
        <v/>
      </c>
      <c r="V143" t="str">
        <f ca="1" t="shared" si="95"/>
        <v/>
      </c>
      <c r="W143" t="str">
        <f ca="1">IF(B143="","",step01标题尺码信息!$V$1)</f>
        <v/>
      </c>
      <c r="X143" t="str">
        <f ca="1">IF(B143="","",step01标题尺码信息!$V$2)</f>
        <v/>
      </c>
      <c r="Y143" t="str">
        <f ca="1" t="shared" si="96"/>
        <v/>
      </c>
      <c r="Z143" t="str">
        <f ca="1" t="shared" si="97"/>
        <v/>
      </c>
      <c r="AA143" t="str">
        <f ca="1">IF(B143="","",IF(CB143="Parent","",VLOOKUP(B143,step01标题尺码信息!G:P,9,0)))</f>
        <v/>
      </c>
      <c r="AG143" t="str">
        <f ca="1" t="shared" si="111"/>
        <v/>
      </c>
      <c r="AH143" t="str">
        <f ca="1" t="shared" si="112"/>
        <v/>
      </c>
      <c r="AI143" t="str">
        <f ca="1">IF(OR(B143="",VLOOKUP(BH143,step02图片链接!B:E,4,0)=""),"",VLOOKUP(BH143,step02图片链接!B:E,4,0))</f>
        <v/>
      </c>
      <c r="AJ143" t="str">
        <f ca="1">IF(OR(B143="",VLOOKUP(BH143,step02图片链接!B:G,6,0)=""),"",VLOOKUP(BH143,step02图片链接!B:G,6,0))</f>
        <v/>
      </c>
      <c r="AK143" t="str">
        <f ca="1">IF(OR(B143="",VLOOKUP(BH143,step02图片链接!B:H,7,0)=""),"",VLOOKUP(BH143,step02图片链接!B:H,7,0))</f>
        <v/>
      </c>
      <c r="AL143" t="str">
        <f ca="1">IF(OR(B143="",VLOOKUP(BH143,step02图片链接!B:I,8,0)=""),"",VLOOKUP(BH143,step02图片链接!B:I,8,0))</f>
        <v/>
      </c>
      <c r="AM143" t="str">
        <f ca="1">IF(OR(B143="",VLOOKUP(BH143,step02图片链接!B:J,9,0)=""),"",VLOOKUP(BH143,step02图片链接!B:J,9,0))</f>
        <v/>
      </c>
      <c r="AN143" t="str">
        <f ca="1">IF(OR(B143="",VLOOKUP(BH143,step02图片链接!B:K,10,0)=""),"",VLOOKUP(BH143,step02图片链接!B:K,10,0))</f>
        <v/>
      </c>
      <c r="AO143" t="str">
        <f ca="1">IF(OR(B143="",VLOOKUP(BH143,step02图片链接!B:L,11,0)=""),"",VLOOKUP(BH143,step02图片链接!B:L,11,0))</f>
        <v/>
      </c>
      <c r="AP143" t="str">
        <f ca="1">IF(OR(B143="",VLOOKUP(BH143,step02图片链接!B:M,12,0)=""),"",VLOOKUP(BH143,step02图片链接!B:M,12,0))</f>
        <v/>
      </c>
      <c r="AQ143" t="str">
        <f ca="1">IF(OR(B143="",VLOOKUP(BH143,step02图片链接!B:N,13,0)=""),"",VLOOKUP(BH143,step02图片链接!B:N,13,0))</f>
        <v/>
      </c>
      <c r="AS143" t="str">
        <f ca="1" t="shared" si="113"/>
        <v/>
      </c>
      <c r="AT143" t="str">
        <f ca="1" t="shared" si="114"/>
        <v/>
      </c>
      <c r="AU143" t="str">
        <f ca="1" t="shared" si="98"/>
        <v/>
      </c>
      <c r="AV143" t="str">
        <f ca="1">IF(B143="","",step01标题尺码信息!$T$36)</f>
        <v/>
      </c>
      <c r="AZ143" t="str">
        <f ca="1">IF(B143="","",step01标题尺码信息!$S$41)</f>
        <v/>
      </c>
      <c r="BA143" t="str">
        <f ca="1">IF(B143="","",step01标题尺码信息!$S$43)</f>
        <v/>
      </c>
      <c r="BB143" t="str">
        <f ca="1">IF(B143="","",step01标题尺码信息!$S$45)</f>
        <v/>
      </c>
      <c r="BC143" t="str">
        <f ca="1">IF(B143="","",step01标题尺码信息!$S$47)</f>
        <v/>
      </c>
      <c r="BD143" t="str">
        <f ca="1">IF(B143="","",step01标题尺码信息!$S$49)</f>
        <v/>
      </c>
      <c r="BE143" t="str">
        <f ca="1">IF(B143="","",step01标题尺码信息!$S$53)</f>
        <v/>
      </c>
      <c r="BH143" t="str">
        <f ca="1">IF(B143="","",IF(DX143="Parent","",VLOOKUP(B143,step01标题尺码信息!G:P,7,0)))</f>
        <v/>
      </c>
      <c r="BI143" t="str">
        <f ca="1">IF(B143="","",IF(DX143="Parent","",VLOOKUP(B143,step01标题尺码信息!G:P,8,0)))</f>
        <v/>
      </c>
      <c r="BK143" t="str">
        <f ca="1" t="shared" si="99"/>
        <v/>
      </c>
      <c r="BL143" t="str">
        <f ca="1" t="shared" si="100"/>
        <v/>
      </c>
      <c r="BO143" t="str">
        <f ca="1" t="shared" si="101"/>
        <v/>
      </c>
      <c r="BR143" t="str">
        <f ca="1">IF(B143="","",IF(AS143="Parent","",VLOOKUP(B143,step01标题尺码信息!G:P,9,0)))</f>
        <v/>
      </c>
      <c r="CY143" t="str">
        <f ca="1" t="shared" si="102"/>
        <v/>
      </c>
      <c r="DG143" t="str">
        <f ca="1">IF(B143="","",step01标题尺码信息!$T$30)</f>
        <v/>
      </c>
      <c r="DH143" t="str">
        <f ca="1" t="shared" si="103"/>
        <v/>
      </c>
      <c r="DN143" t="str">
        <f ca="1" t="shared" si="104"/>
        <v/>
      </c>
      <c r="DW143" t="str">
        <f ca="1" t="shared" si="105"/>
        <v/>
      </c>
      <c r="ER143" t="str">
        <f ca="1">IF(B143="","",step01标题尺码信息!$T$37)</f>
        <v/>
      </c>
      <c r="ES143" t="str">
        <f ca="1" t="shared" si="106"/>
        <v/>
      </c>
      <c r="HF143" t="str">
        <f ca="1">IF(B143="","",step01标题尺码信息!$S$2)</f>
        <v/>
      </c>
      <c r="HH143" t="str">
        <f ca="1" t="shared" si="107"/>
        <v/>
      </c>
      <c r="HI143" t="str">
        <f ca="1" t="shared" si="108"/>
        <v/>
      </c>
      <c r="HL143" t="str">
        <f ca="1" t="shared" si="109"/>
        <v/>
      </c>
      <c r="IA143" t="str">
        <f ca="1" t="shared" si="110"/>
        <v/>
      </c>
    </row>
    <row r="144" spans="1:235">
      <c r="A144" t="str">
        <f ca="1">IF(B144="","",step01标题尺码信息!$B$3)</f>
        <v/>
      </c>
      <c r="B144" t="str">
        <f ca="1">IF(step01标题尺码信息!G146="","",step01标题尺码信息!G146)</f>
        <v/>
      </c>
      <c r="C144" t="str">
        <f ca="1">IF(B144="","",step01标题尺码信息!$E$3)</f>
        <v/>
      </c>
      <c r="D144" t="str">
        <f ca="1" t="shared" si="92"/>
        <v/>
      </c>
      <c r="E144" t="str">
        <f ca="1">IF(B144="","",VLOOKUP(B144,step01标题尺码信息!G:P,4,0))</f>
        <v/>
      </c>
      <c r="H144" t="str">
        <f ca="1">IF(B144="","",step01标题尺码信息!$R$19)</f>
        <v/>
      </c>
      <c r="I144" t="str">
        <f ca="1" t="shared" si="93"/>
        <v/>
      </c>
      <c r="M144" t="str">
        <f ca="1" t="shared" si="94"/>
        <v/>
      </c>
      <c r="U144" t="str">
        <f ca="1">IF(B144="","",step01标题尺码信息!$S$1)</f>
        <v/>
      </c>
      <c r="V144" t="str">
        <f ca="1" t="shared" si="95"/>
        <v/>
      </c>
      <c r="W144" t="str">
        <f ca="1">IF(B144="","",step01标题尺码信息!$V$1)</f>
        <v/>
      </c>
      <c r="X144" t="str">
        <f ca="1">IF(B144="","",step01标题尺码信息!$V$2)</f>
        <v/>
      </c>
      <c r="Y144" t="str">
        <f ca="1" t="shared" si="96"/>
        <v/>
      </c>
      <c r="Z144" t="str">
        <f ca="1" t="shared" si="97"/>
        <v/>
      </c>
      <c r="AA144" t="str">
        <f ca="1">IF(B144="","",IF(CB144="Parent","",VLOOKUP(B144,step01标题尺码信息!G:P,9,0)))</f>
        <v/>
      </c>
      <c r="AG144" t="str">
        <f ca="1" t="shared" si="111"/>
        <v/>
      </c>
      <c r="AH144" t="str">
        <f ca="1" t="shared" si="112"/>
        <v/>
      </c>
      <c r="AI144" t="str">
        <f ca="1">IF(OR(B144="",VLOOKUP(BH144,step02图片链接!B:E,4,0)=""),"",VLOOKUP(BH144,step02图片链接!B:E,4,0))</f>
        <v/>
      </c>
      <c r="AJ144" t="str">
        <f ca="1">IF(OR(B144="",VLOOKUP(BH144,step02图片链接!B:G,6,0)=""),"",VLOOKUP(BH144,step02图片链接!B:G,6,0))</f>
        <v/>
      </c>
      <c r="AK144" t="str">
        <f ca="1">IF(OR(B144="",VLOOKUP(BH144,step02图片链接!B:H,7,0)=""),"",VLOOKUP(BH144,step02图片链接!B:H,7,0))</f>
        <v/>
      </c>
      <c r="AL144" t="str">
        <f ca="1">IF(OR(B144="",VLOOKUP(BH144,step02图片链接!B:I,8,0)=""),"",VLOOKUP(BH144,step02图片链接!B:I,8,0))</f>
        <v/>
      </c>
      <c r="AM144" t="str">
        <f ca="1">IF(OR(B144="",VLOOKUP(BH144,step02图片链接!B:J,9,0)=""),"",VLOOKUP(BH144,step02图片链接!B:J,9,0))</f>
        <v/>
      </c>
      <c r="AN144" t="str">
        <f ca="1">IF(OR(B144="",VLOOKUP(BH144,step02图片链接!B:K,10,0)=""),"",VLOOKUP(BH144,step02图片链接!B:K,10,0))</f>
        <v/>
      </c>
      <c r="AO144" t="str">
        <f ca="1">IF(OR(B144="",VLOOKUP(BH144,step02图片链接!B:L,11,0)=""),"",VLOOKUP(BH144,step02图片链接!B:L,11,0))</f>
        <v/>
      </c>
      <c r="AP144" t="str">
        <f ca="1">IF(OR(B144="",VLOOKUP(BH144,step02图片链接!B:M,12,0)=""),"",VLOOKUP(BH144,step02图片链接!B:M,12,0))</f>
        <v/>
      </c>
      <c r="AQ144" t="str">
        <f ca="1">IF(OR(B144="",VLOOKUP(BH144,step02图片链接!B:N,13,0)=""),"",VLOOKUP(BH144,step02图片链接!B:N,13,0))</f>
        <v/>
      </c>
      <c r="AS144" t="str">
        <f ca="1" t="shared" si="113"/>
        <v/>
      </c>
      <c r="AT144" t="str">
        <f ca="1" t="shared" si="114"/>
        <v/>
      </c>
      <c r="AU144" t="str">
        <f ca="1" t="shared" si="98"/>
        <v/>
      </c>
      <c r="AV144" t="str">
        <f ca="1">IF(B144="","",step01标题尺码信息!$T$36)</f>
        <v/>
      </c>
      <c r="AZ144" t="str">
        <f ca="1">IF(B144="","",step01标题尺码信息!$S$41)</f>
        <v/>
      </c>
      <c r="BA144" t="str">
        <f ca="1">IF(B144="","",step01标题尺码信息!$S$43)</f>
        <v/>
      </c>
      <c r="BB144" t="str">
        <f ca="1">IF(B144="","",step01标题尺码信息!$S$45)</f>
        <v/>
      </c>
      <c r="BC144" t="str">
        <f ca="1">IF(B144="","",step01标题尺码信息!$S$47)</f>
        <v/>
      </c>
      <c r="BD144" t="str">
        <f ca="1">IF(B144="","",step01标题尺码信息!$S$49)</f>
        <v/>
      </c>
      <c r="BE144" t="str">
        <f ca="1">IF(B144="","",step01标题尺码信息!$S$53)</f>
        <v/>
      </c>
      <c r="BH144" t="str">
        <f ca="1">IF(B144="","",IF(DX144="Parent","",VLOOKUP(B144,step01标题尺码信息!G:P,7,0)))</f>
        <v/>
      </c>
      <c r="BI144" t="str">
        <f ca="1">IF(B144="","",IF(DX144="Parent","",VLOOKUP(B144,step01标题尺码信息!G:P,8,0)))</f>
        <v/>
      </c>
      <c r="BK144" t="str">
        <f ca="1" t="shared" si="99"/>
        <v/>
      </c>
      <c r="BL144" t="str">
        <f ca="1" t="shared" si="100"/>
        <v/>
      </c>
      <c r="BO144" t="str">
        <f ca="1" t="shared" si="101"/>
        <v/>
      </c>
      <c r="BR144" t="str">
        <f ca="1">IF(B144="","",IF(AS144="Parent","",VLOOKUP(B144,step01标题尺码信息!G:P,9,0)))</f>
        <v/>
      </c>
      <c r="CY144" t="str">
        <f ca="1" t="shared" si="102"/>
        <v/>
      </c>
      <c r="DG144" t="str">
        <f ca="1">IF(B144="","",step01标题尺码信息!$T$30)</f>
        <v/>
      </c>
      <c r="DH144" t="str">
        <f ca="1" t="shared" si="103"/>
        <v/>
      </c>
      <c r="DN144" t="str">
        <f ca="1" t="shared" si="104"/>
        <v/>
      </c>
      <c r="DW144" t="str">
        <f ca="1" t="shared" si="105"/>
        <v/>
      </c>
      <c r="ER144" t="str">
        <f ca="1">IF(B144="","",step01标题尺码信息!$T$37)</f>
        <v/>
      </c>
      <c r="ES144" t="str">
        <f ca="1" t="shared" si="106"/>
        <v/>
      </c>
      <c r="HF144" t="str">
        <f ca="1">IF(B144="","",step01标题尺码信息!$S$2)</f>
        <v/>
      </c>
      <c r="HH144" t="str">
        <f ca="1" t="shared" si="107"/>
        <v/>
      </c>
      <c r="HI144" t="str">
        <f ca="1" t="shared" si="108"/>
        <v/>
      </c>
      <c r="HL144" t="str">
        <f ca="1" t="shared" si="109"/>
        <v/>
      </c>
      <c r="IA144" t="str">
        <f ca="1" t="shared" si="110"/>
        <v/>
      </c>
    </row>
    <row r="145" spans="1:235">
      <c r="A145" t="str">
        <f ca="1">IF(B145="","",step01标题尺码信息!$B$3)</f>
        <v/>
      </c>
      <c r="B145" t="str">
        <f ca="1">IF(step01标题尺码信息!G147="","",step01标题尺码信息!G147)</f>
        <v/>
      </c>
      <c r="C145" t="str">
        <f ca="1">IF(B145="","",step01标题尺码信息!$E$3)</f>
        <v/>
      </c>
      <c r="D145" t="str">
        <f ca="1" t="shared" si="92"/>
        <v/>
      </c>
      <c r="E145" t="str">
        <f ca="1">IF(B145="","",VLOOKUP(B145,step01标题尺码信息!G:P,4,0))</f>
        <v/>
      </c>
      <c r="H145" t="str">
        <f ca="1">IF(B145="","",step01标题尺码信息!$R$19)</f>
        <v/>
      </c>
      <c r="I145" t="str">
        <f ca="1" t="shared" si="93"/>
        <v/>
      </c>
      <c r="M145" t="str">
        <f ca="1" t="shared" si="94"/>
        <v/>
      </c>
      <c r="U145" t="str">
        <f ca="1">IF(B145="","",step01标题尺码信息!$S$1)</f>
        <v/>
      </c>
      <c r="V145" t="str">
        <f ca="1" t="shared" si="95"/>
        <v/>
      </c>
      <c r="W145" t="str">
        <f ca="1">IF(B145="","",step01标题尺码信息!$V$1)</f>
        <v/>
      </c>
      <c r="X145" t="str">
        <f ca="1">IF(B145="","",step01标题尺码信息!$V$2)</f>
        <v/>
      </c>
      <c r="Y145" t="str">
        <f ca="1" t="shared" si="96"/>
        <v/>
      </c>
      <c r="Z145" t="str">
        <f ca="1" t="shared" si="97"/>
        <v/>
      </c>
      <c r="AA145" t="str">
        <f ca="1">IF(B145="","",IF(CB145="Parent","",VLOOKUP(B145,step01标题尺码信息!G:P,9,0)))</f>
        <v/>
      </c>
      <c r="AG145" t="str">
        <f ca="1" t="shared" si="111"/>
        <v/>
      </c>
      <c r="AH145" t="str">
        <f ca="1" t="shared" si="112"/>
        <v/>
      </c>
      <c r="AI145" t="str">
        <f ca="1">IF(OR(B145="",VLOOKUP(BH145,step02图片链接!B:E,4,0)=""),"",VLOOKUP(BH145,step02图片链接!B:E,4,0))</f>
        <v/>
      </c>
      <c r="AJ145" t="str">
        <f ca="1">IF(OR(B145="",VLOOKUP(BH145,step02图片链接!B:G,6,0)=""),"",VLOOKUP(BH145,step02图片链接!B:G,6,0))</f>
        <v/>
      </c>
      <c r="AK145" t="str">
        <f ca="1">IF(OR(B145="",VLOOKUP(BH145,step02图片链接!B:H,7,0)=""),"",VLOOKUP(BH145,step02图片链接!B:H,7,0))</f>
        <v/>
      </c>
      <c r="AL145" t="str">
        <f ca="1">IF(OR(B145="",VLOOKUP(BH145,step02图片链接!B:I,8,0)=""),"",VLOOKUP(BH145,step02图片链接!B:I,8,0))</f>
        <v/>
      </c>
      <c r="AM145" t="str">
        <f ca="1">IF(OR(B145="",VLOOKUP(BH145,step02图片链接!B:J,9,0)=""),"",VLOOKUP(BH145,step02图片链接!B:J,9,0))</f>
        <v/>
      </c>
      <c r="AN145" t="str">
        <f ca="1">IF(OR(B145="",VLOOKUP(BH145,step02图片链接!B:K,10,0)=""),"",VLOOKUP(BH145,step02图片链接!B:K,10,0))</f>
        <v/>
      </c>
      <c r="AO145" t="str">
        <f ca="1">IF(OR(B145="",VLOOKUP(BH145,step02图片链接!B:L,11,0)=""),"",VLOOKUP(BH145,step02图片链接!B:L,11,0))</f>
        <v/>
      </c>
      <c r="AP145" t="str">
        <f ca="1">IF(OR(B145="",VLOOKUP(BH145,step02图片链接!B:M,12,0)=""),"",VLOOKUP(BH145,step02图片链接!B:M,12,0))</f>
        <v/>
      </c>
      <c r="AQ145" t="str">
        <f ca="1">IF(OR(B145="",VLOOKUP(BH145,step02图片链接!B:N,13,0)=""),"",VLOOKUP(BH145,step02图片链接!B:N,13,0))</f>
        <v/>
      </c>
      <c r="AS145" t="str">
        <f ca="1" t="shared" si="113"/>
        <v/>
      </c>
      <c r="AT145" t="str">
        <f ca="1" t="shared" si="114"/>
        <v/>
      </c>
      <c r="AU145" t="str">
        <f ca="1" t="shared" si="98"/>
        <v/>
      </c>
      <c r="AV145" t="str">
        <f ca="1">IF(B145="","",step01标题尺码信息!$T$36)</f>
        <v/>
      </c>
      <c r="AZ145" t="str">
        <f ca="1">IF(B145="","",step01标题尺码信息!$S$41)</f>
        <v/>
      </c>
      <c r="BA145" t="str">
        <f ca="1">IF(B145="","",step01标题尺码信息!$S$43)</f>
        <v/>
      </c>
      <c r="BB145" t="str">
        <f ca="1">IF(B145="","",step01标题尺码信息!$S$45)</f>
        <v/>
      </c>
      <c r="BC145" t="str">
        <f ca="1">IF(B145="","",step01标题尺码信息!$S$47)</f>
        <v/>
      </c>
      <c r="BD145" t="str">
        <f ca="1">IF(B145="","",step01标题尺码信息!$S$49)</f>
        <v/>
      </c>
      <c r="BE145" t="str">
        <f ca="1">IF(B145="","",step01标题尺码信息!$S$53)</f>
        <v/>
      </c>
      <c r="BH145" t="str">
        <f ca="1">IF(B145="","",IF(DX145="Parent","",VLOOKUP(B145,step01标题尺码信息!G:P,7,0)))</f>
        <v/>
      </c>
      <c r="BI145" t="str">
        <f ca="1">IF(B145="","",IF(DX145="Parent","",VLOOKUP(B145,step01标题尺码信息!G:P,8,0)))</f>
        <v/>
      </c>
      <c r="BK145" t="str">
        <f ca="1" t="shared" si="99"/>
        <v/>
      </c>
      <c r="BL145" t="str">
        <f ca="1" t="shared" si="100"/>
        <v/>
      </c>
      <c r="BO145" t="str">
        <f ca="1" t="shared" si="101"/>
        <v/>
      </c>
      <c r="BR145" t="str">
        <f ca="1">IF(B145="","",IF(AS145="Parent","",VLOOKUP(B145,step01标题尺码信息!G:P,9,0)))</f>
        <v/>
      </c>
      <c r="CY145" t="str">
        <f ca="1" t="shared" si="102"/>
        <v/>
      </c>
      <c r="DG145" t="str">
        <f ca="1">IF(B145="","",step01标题尺码信息!$T$30)</f>
        <v/>
      </c>
      <c r="DH145" t="str">
        <f ca="1" t="shared" si="103"/>
        <v/>
      </c>
      <c r="DN145" t="str">
        <f ca="1" t="shared" si="104"/>
        <v/>
      </c>
      <c r="DW145" t="str">
        <f ca="1" t="shared" si="105"/>
        <v/>
      </c>
      <c r="ER145" t="str">
        <f ca="1">IF(B145="","",step01标题尺码信息!$T$37)</f>
        <v/>
      </c>
      <c r="ES145" t="str">
        <f ca="1" t="shared" si="106"/>
        <v/>
      </c>
      <c r="HF145" t="str">
        <f ca="1">IF(B145="","",step01标题尺码信息!$S$2)</f>
        <v/>
      </c>
      <c r="HH145" t="str">
        <f ca="1" t="shared" si="107"/>
        <v/>
      </c>
      <c r="HI145" t="str">
        <f ca="1" t="shared" si="108"/>
        <v/>
      </c>
      <c r="HL145" t="str">
        <f ca="1" t="shared" si="109"/>
        <v/>
      </c>
      <c r="IA145" t="str">
        <f ca="1" t="shared" si="110"/>
        <v/>
      </c>
    </row>
    <row r="146" spans="1:235">
      <c r="A146" t="str">
        <f ca="1">IF(B146="","",step01标题尺码信息!$B$3)</f>
        <v/>
      </c>
      <c r="B146" t="str">
        <f ca="1">IF(step01标题尺码信息!G148="","",step01标题尺码信息!G148)</f>
        <v/>
      </c>
      <c r="C146" t="str">
        <f ca="1">IF(B146="","",step01标题尺码信息!$E$3)</f>
        <v/>
      </c>
      <c r="D146" t="str">
        <f ca="1" t="shared" si="92"/>
        <v/>
      </c>
      <c r="E146" t="str">
        <f ca="1">IF(B146="","",VLOOKUP(B146,step01标题尺码信息!G:P,4,0))</f>
        <v/>
      </c>
      <c r="H146" t="str">
        <f ca="1">IF(B146="","",step01标题尺码信息!$R$19)</f>
        <v/>
      </c>
      <c r="I146" t="str">
        <f ca="1" t="shared" si="93"/>
        <v/>
      </c>
      <c r="M146" t="str">
        <f ca="1" t="shared" si="94"/>
        <v/>
      </c>
      <c r="U146" t="str">
        <f ca="1">IF(B146="","",step01标题尺码信息!$S$1)</f>
        <v/>
      </c>
      <c r="V146" t="str">
        <f ca="1" t="shared" si="95"/>
        <v/>
      </c>
      <c r="W146" t="str">
        <f ca="1">IF(B146="","",step01标题尺码信息!$V$1)</f>
        <v/>
      </c>
      <c r="X146" t="str">
        <f ca="1">IF(B146="","",step01标题尺码信息!$V$2)</f>
        <v/>
      </c>
      <c r="Y146" t="str">
        <f ca="1" t="shared" si="96"/>
        <v/>
      </c>
      <c r="Z146" t="str">
        <f ca="1" t="shared" si="97"/>
        <v/>
      </c>
      <c r="AA146" t="str">
        <f ca="1">IF(B146="","",IF(CB146="Parent","",VLOOKUP(B146,step01标题尺码信息!G:P,9,0)))</f>
        <v/>
      </c>
      <c r="AG146" t="str">
        <f ca="1" t="shared" si="111"/>
        <v/>
      </c>
      <c r="AH146" t="str">
        <f ca="1" t="shared" si="112"/>
        <v/>
      </c>
      <c r="AI146" t="str">
        <f ca="1">IF(OR(B146="",VLOOKUP(BH146,step02图片链接!B:E,4,0)=""),"",VLOOKUP(BH146,step02图片链接!B:E,4,0))</f>
        <v/>
      </c>
      <c r="AJ146" t="str">
        <f ca="1">IF(OR(B146="",VLOOKUP(BH146,step02图片链接!B:G,6,0)=""),"",VLOOKUP(BH146,step02图片链接!B:G,6,0))</f>
        <v/>
      </c>
      <c r="AK146" t="str">
        <f ca="1">IF(OR(B146="",VLOOKUP(BH146,step02图片链接!B:H,7,0)=""),"",VLOOKUP(BH146,step02图片链接!B:H,7,0))</f>
        <v/>
      </c>
      <c r="AL146" t="str">
        <f ca="1">IF(OR(B146="",VLOOKUP(BH146,step02图片链接!B:I,8,0)=""),"",VLOOKUP(BH146,step02图片链接!B:I,8,0))</f>
        <v/>
      </c>
      <c r="AM146" t="str">
        <f ca="1">IF(OR(B146="",VLOOKUP(BH146,step02图片链接!B:J,9,0)=""),"",VLOOKUP(BH146,step02图片链接!B:J,9,0))</f>
        <v/>
      </c>
      <c r="AN146" t="str">
        <f ca="1">IF(OR(B146="",VLOOKUP(BH146,step02图片链接!B:K,10,0)=""),"",VLOOKUP(BH146,step02图片链接!B:K,10,0))</f>
        <v/>
      </c>
      <c r="AO146" t="str">
        <f ca="1">IF(OR(B146="",VLOOKUP(BH146,step02图片链接!B:L,11,0)=""),"",VLOOKUP(BH146,step02图片链接!B:L,11,0))</f>
        <v/>
      </c>
      <c r="AP146" t="str">
        <f ca="1">IF(OR(B146="",VLOOKUP(BH146,step02图片链接!B:M,12,0)=""),"",VLOOKUP(BH146,step02图片链接!B:M,12,0))</f>
        <v/>
      </c>
      <c r="AQ146" t="str">
        <f ca="1">IF(OR(B146="",VLOOKUP(BH146,step02图片链接!B:N,13,0)=""),"",VLOOKUP(BH146,step02图片链接!B:N,13,0))</f>
        <v/>
      </c>
      <c r="AS146" t="str">
        <f ca="1" t="shared" si="113"/>
        <v/>
      </c>
      <c r="AT146" t="str">
        <f ca="1" t="shared" si="114"/>
        <v/>
      </c>
      <c r="AU146" t="str">
        <f ca="1" t="shared" si="98"/>
        <v/>
      </c>
      <c r="AV146" t="str">
        <f ca="1">IF(B146="","",step01标题尺码信息!$T$36)</f>
        <v/>
      </c>
      <c r="AZ146" t="str">
        <f ca="1">IF(B146="","",step01标题尺码信息!$S$41)</f>
        <v/>
      </c>
      <c r="BA146" t="str">
        <f ca="1">IF(B146="","",step01标题尺码信息!$S$43)</f>
        <v/>
      </c>
      <c r="BB146" t="str">
        <f ca="1">IF(B146="","",step01标题尺码信息!$S$45)</f>
        <v/>
      </c>
      <c r="BC146" t="str">
        <f ca="1">IF(B146="","",step01标题尺码信息!$S$47)</f>
        <v/>
      </c>
      <c r="BD146" t="str">
        <f ca="1">IF(B146="","",step01标题尺码信息!$S$49)</f>
        <v/>
      </c>
      <c r="BE146" t="str">
        <f ca="1">IF(B146="","",step01标题尺码信息!$S$53)</f>
        <v/>
      </c>
      <c r="BH146" t="str">
        <f ca="1">IF(B146="","",IF(DX146="Parent","",VLOOKUP(B146,step01标题尺码信息!G:P,7,0)))</f>
        <v/>
      </c>
      <c r="BI146" t="str">
        <f ca="1">IF(B146="","",IF(DX146="Parent","",VLOOKUP(B146,step01标题尺码信息!G:P,8,0)))</f>
        <v/>
      </c>
      <c r="BK146" t="str">
        <f ca="1" t="shared" si="99"/>
        <v/>
      </c>
      <c r="BL146" t="str">
        <f ca="1" t="shared" si="100"/>
        <v/>
      </c>
      <c r="BO146" t="str">
        <f ca="1" t="shared" si="101"/>
        <v/>
      </c>
      <c r="BR146" t="str">
        <f ca="1">IF(B146="","",IF(AS146="Parent","",VLOOKUP(B146,step01标题尺码信息!G:P,9,0)))</f>
        <v/>
      </c>
      <c r="CY146" t="str">
        <f ca="1" t="shared" si="102"/>
        <v/>
      </c>
      <c r="DG146" t="str">
        <f ca="1">IF(B146="","",step01标题尺码信息!$T$30)</f>
        <v/>
      </c>
      <c r="DH146" t="str">
        <f ca="1" t="shared" si="103"/>
        <v/>
      </c>
      <c r="DN146" t="str">
        <f ca="1" t="shared" si="104"/>
        <v/>
      </c>
      <c r="DW146" t="str">
        <f ca="1" t="shared" si="105"/>
        <v/>
      </c>
      <c r="ER146" t="str">
        <f ca="1">IF(B146="","",step01标题尺码信息!$T$37)</f>
        <v/>
      </c>
      <c r="ES146" t="str">
        <f ca="1" t="shared" si="106"/>
        <v/>
      </c>
      <c r="HF146" t="str">
        <f ca="1">IF(B146="","",step01标题尺码信息!$S$2)</f>
        <v/>
      </c>
      <c r="HH146" t="str">
        <f ca="1" t="shared" si="107"/>
        <v/>
      </c>
      <c r="HI146" t="str">
        <f ca="1" t="shared" si="108"/>
        <v/>
      </c>
      <c r="HL146" t="str">
        <f ca="1" t="shared" si="109"/>
        <v/>
      </c>
      <c r="IA146" t="str">
        <f ca="1" t="shared" si="110"/>
        <v/>
      </c>
    </row>
    <row r="147" spans="1:235">
      <c r="A147" t="str">
        <f ca="1">IF(B147="","",step01标题尺码信息!$B$3)</f>
        <v/>
      </c>
      <c r="B147" t="str">
        <f ca="1">IF(step01标题尺码信息!G149="","",step01标题尺码信息!G149)</f>
        <v/>
      </c>
      <c r="C147" t="str">
        <f ca="1">IF(B147="","",step01标题尺码信息!$E$3)</f>
        <v/>
      </c>
      <c r="D147" t="str">
        <f ca="1" t="shared" si="92"/>
        <v/>
      </c>
      <c r="E147" t="str">
        <f ca="1">IF(B147="","",VLOOKUP(B147,step01标题尺码信息!G:P,4,0))</f>
        <v/>
      </c>
      <c r="H147" t="str">
        <f ca="1">IF(B147="","",step01标题尺码信息!$R$19)</f>
        <v/>
      </c>
      <c r="I147" t="str">
        <f ca="1" t="shared" si="93"/>
        <v/>
      </c>
      <c r="M147" t="str">
        <f ca="1" t="shared" si="94"/>
        <v/>
      </c>
      <c r="U147" t="str">
        <f ca="1">IF(B147="","",step01标题尺码信息!$S$1)</f>
        <v/>
      </c>
      <c r="V147" t="str">
        <f ca="1" t="shared" si="95"/>
        <v/>
      </c>
      <c r="W147" t="str">
        <f ca="1">IF(B147="","",step01标题尺码信息!$V$1)</f>
        <v/>
      </c>
      <c r="X147" t="str">
        <f ca="1">IF(B147="","",step01标题尺码信息!$V$2)</f>
        <v/>
      </c>
      <c r="Y147" t="str">
        <f ca="1" t="shared" si="96"/>
        <v/>
      </c>
      <c r="Z147" t="str">
        <f ca="1" t="shared" si="97"/>
        <v/>
      </c>
      <c r="AA147" t="str">
        <f ca="1">IF(B147="","",IF(CB147="Parent","",VLOOKUP(B147,step01标题尺码信息!G:P,9,0)))</f>
        <v/>
      </c>
      <c r="AG147" t="str">
        <f ca="1" t="shared" si="111"/>
        <v/>
      </c>
      <c r="AH147" t="str">
        <f ca="1" t="shared" si="112"/>
        <v/>
      </c>
      <c r="AI147" t="str">
        <f ca="1">IF(OR(B147="",VLOOKUP(BH147,step02图片链接!B:E,4,0)=""),"",VLOOKUP(BH147,step02图片链接!B:E,4,0))</f>
        <v/>
      </c>
      <c r="AJ147" t="str">
        <f ca="1">IF(OR(B147="",VLOOKUP(BH147,step02图片链接!B:G,6,0)=""),"",VLOOKUP(BH147,step02图片链接!B:G,6,0))</f>
        <v/>
      </c>
      <c r="AK147" t="str">
        <f ca="1">IF(OR(B147="",VLOOKUP(BH147,step02图片链接!B:H,7,0)=""),"",VLOOKUP(BH147,step02图片链接!B:H,7,0))</f>
        <v/>
      </c>
      <c r="AL147" t="str">
        <f ca="1">IF(OR(B147="",VLOOKUP(BH147,step02图片链接!B:I,8,0)=""),"",VLOOKUP(BH147,step02图片链接!B:I,8,0))</f>
        <v/>
      </c>
      <c r="AM147" t="str">
        <f ca="1">IF(OR(B147="",VLOOKUP(BH147,step02图片链接!B:J,9,0)=""),"",VLOOKUP(BH147,step02图片链接!B:J,9,0))</f>
        <v/>
      </c>
      <c r="AN147" t="str">
        <f ca="1">IF(OR(B147="",VLOOKUP(BH147,step02图片链接!B:K,10,0)=""),"",VLOOKUP(BH147,step02图片链接!B:K,10,0))</f>
        <v/>
      </c>
      <c r="AO147" t="str">
        <f ca="1">IF(OR(B147="",VLOOKUP(BH147,step02图片链接!B:L,11,0)=""),"",VLOOKUP(BH147,step02图片链接!B:L,11,0))</f>
        <v/>
      </c>
      <c r="AP147" t="str">
        <f ca="1">IF(OR(B147="",VLOOKUP(BH147,step02图片链接!B:M,12,0)=""),"",VLOOKUP(BH147,step02图片链接!B:M,12,0))</f>
        <v/>
      </c>
      <c r="AQ147" t="str">
        <f ca="1">IF(OR(B147="",VLOOKUP(BH147,step02图片链接!B:N,13,0)=""),"",VLOOKUP(BH147,step02图片链接!B:N,13,0))</f>
        <v/>
      </c>
      <c r="AS147" t="str">
        <f ca="1" t="shared" si="113"/>
        <v/>
      </c>
      <c r="AT147" t="str">
        <f ca="1" t="shared" si="114"/>
        <v/>
      </c>
      <c r="AU147" t="str">
        <f ca="1" t="shared" si="98"/>
        <v/>
      </c>
      <c r="AV147" t="str">
        <f ca="1">IF(B147="","",step01标题尺码信息!$T$36)</f>
        <v/>
      </c>
      <c r="AZ147" t="str">
        <f ca="1">IF(B147="","",step01标题尺码信息!$S$41)</f>
        <v/>
      </c>
      <c r="BA147" t="str">
        <f ca="1">IF(B147="","",step01标题尺码信息!$S$43)</f>
        <v/>
      </c>
      <c r="BB147" t="str">
        <f ca="1">IF(B147="","",step01标题尺码信息!$S$45)</f>
        <v/>
      </c>
      <c r="BC147" t="str">
        <f ca="1">IF(B147="","",step01标题尺码信息!$S$47)</f>
        <v/>
      </c>
      <c r="BD147" t="str">
        <f ca="1">IF(B147="","",step01标题尺码信息!$S$49)</f>
        <v/>
      </c>
      <c r="BE147" t="str">
        <f ca="1">IF(B147="","",step01标题尺码信息!$S$53)</f>
        <v/>
      </c>
      <c r="BH147" t="str">
        <f ca="1">IF(B147="","",IF(DX147="Parent","",VLOOKUP(B147,step01标题尺码信息!G:P,7,0)))</f>
        <v/>
      </c>
      <c r="BI147" t="str">
        <f ca="1">IF(B147="","",IF(DX147="Parent","",VLOOKUP(B147,step01标题尺码信息!G:P,8,0)))</f>
        <v/>
      </c>
      <c r="BK147" t="str">
        <f ca="1" t="shared" si="99"/>
        <v/>
      </c>
      <c r="BL147" t="str">
        <f ca="1" t="shared" si="100"/>
        <v/>
      </c>
      <c r="BO147" t="str">
        <f ca="1" t="shared" si="101"/>
        <v/>
      </c>
      <c r="BR147" t="str">
        <f ca="1">IF(B147="","",IF(AS147="Parent","",VLOOKUP(B147,step01标题尺码信息!G:P,9,0)))</f>
        <v/>
      </c>
      <c r="CY147" t="str">
        <f ca="1" t="shared" si="102"/>
        <v/>
      </c>
      <c r="DG147" t="str">
        <f ca="1">IF(B147="","",step01标题尺码信息!$T$30)</f>
        <v/>
      </c>
      <c r="DH147" t="str">
        <f ca="1" t="shared" si="103"/>
        <v/>
      </c>
      <c r="DN147" t="str">
        <f ca="1" t="shared" si="104"/>
        <v/>
      </c>
      <c r="DW147" t="str">
        <f ca="1" t="shared" si="105"/>
        <v/>
      </c>
      <c r="ER147" t="str">
        <f ca="1">IF(B147="","",step01标题尺码信息!$T$37)</f>
        <v/>
      </c>
      <c r="ES147" t="str">
        <f ca="1" t="shared" si="106"/>
        <v/>
      </c>
      <c r="HF147" t="str">
        <f ca="1">IF(B147="","",step01标题尺码信息!$S$2)</f>
        <v/>
      </c>
      <c r="HH147" t="str">
        <f ca="1" t="shared" si="107"/>
        <v/>
      </c>
      <c r="HI147" t="str">
        <f ca="1" t="shared" si="108"/>
        <v/>
      </c>
      <c r="HL147" t="str">
        <f ca="1" t="shared" si="109"/>
        <v/>
      </c>
      <c r="IA147" t="str">
        <f ca="1" t="shared" si="110"/>
        <v/>
      </c>
    </row>
    <row r="148" spans="1:235">
      <c r="A148" t="str">
        <f ca="1">IF(B148="","",step01标题尺码信息!$B$3)</f>
        <v/>
      </c>
      <c r="B148" t="str">
        <f ca="1">IF(step01标题尺码信息!G150="","",step01标题尺码信息!G150)</f>
        <v/>
      </c>
      <c r="C148" t="str">
        <f ca="1">IF(B148="","",step01标题尺码信息!$E$3)</f>
        <v/>
      </c>
      <c r="D148" t="str">
        <f ca="1" t="shared" si="92"/>
        <v/>
      </c>
      <c r="E148" t="str">
        <f ca="1">IF(B148="","",VLOOKUP(B148,step01标题尺码信息!G:P,4,0))</f>
        <v/>
      </c>
      <c r="H148" t="str">
        <f ca="1">IF(B148="","",step01标题尺码信息!$R$19)</f>
        <v/>
      </c>
      <c r="I148" t="str">
        <f ca="1" t="shared" si="93"/>
        <v/>
      </c>
      <c r="M148" t="str">
        <f ca="1" t="shared" si="94"/>
        <v/>
      </c>
      <c r="U148" t="str">
        <f ca="1">IF(B148="","",step01标题尺码信息!$S$1)</f>
        <v/>
      </c>
      <c r="V148" t="str">
        <f ca="1" t="shared" si="95"/>
        <v/>
      </c>
      <c r="W148" t="str">
        <f ca="1">IF(B148="","",step01标题尺码信息!$V$1)</f>
        <v/>
      </c>
      <c r="X148" t="str">
        <f ca="1">IF(B148="","",step01标题尺码信息!$V$2)</f>
        <v/>
      </c>
      <c r="Y148" t="str">
        <f ca="1" t="shared" si="96"/>
        <v/>
      </c>
      <c r="Z148" t="str">
        <f ca="1" t="shared" si="97"/>
        <v/>
      </c>
      <c r="AA148" t="str">
        <f ca="1">IF(B148="","",IF(CB148="Parent","",VLOOKUP(B148,step01标题尺码信息!G:P,9,0)))</f>
        <v/>
      </c>
      <c r="AG148" t="str">
        <f ca="1" t="shared" si="111"/>
        <v/>
      </c>
      <c r="AH148" t="str">
        <f ca="1" t="shared" si="112"/>
        <v/>
      </c>
      <c r="AI148" t="str">
        <f ca="1">IF(OR(B148="",VLOOKUP(BH148,step02图片链接!B:E,4,0)=""),"",VLOOKUP(BH148,step02图片链接!B:E,4,0))</f>
        <v/>
      </c>
      <c r="AJ148" t="str">
        <f ca="1">IF(OR(B148="",VLOOKUP(BH148,step02图片链接!B:G,6,0)=""),"",VLOOKUP(BH148,step02图片链接!B:G,6,0))</f>
        <v/>
      </c>
      <c r="AK148" t="str">
        <f ca="1">IF(OR(B148="",VLOOKUP(BH148,step02图片链接!B:H,7,0)=""),"",VLOOKUP(BH148,step02图片链接!B:H,7,0))</f>
        <v/>
      </c>
      <c r="AL148" t="str">
        <f ca="1">IF(OR(B148="",VLOOKUP(BH148,step02图片链接!B:I,8,0)=""),"",VLOOKUP(BH148,step02图片链接!B:I,8,0))</f>
        <v/>
      </c>
      <c r="AM148" t="str">
        <f ca="1">IF(OR(B148="",VLOOKUP(BH148,step02图片链接!B:J,9,0)=""),"",VLOOKUP(BH148,step02图片链接!B:J,9,0))</f>
        <v/>
      </c>
      <c r="AN148" t="str">
        <f ca="1">IF(OR(B148="",VLOOKUP(BH148,step02图片链接!B:K,10,0)=""),"",VLOOKUP(BH148,step02图片链接!B:K,10,0))</f>
        <v/>
      </c>
      <c r="AO148" t="str">
        <f ca="1">IF(OR(B148="",VLOOKUP(BH148,step02图片链接!B:L,11,0)=""),"",VLOOKUP(BH148,step02图片链接!B:L,11,0))</f>
        <v/>
      </c>
      <c r="AP148" t="str">
        <f ca="1">IF(OR(B148="",VLOOKUP(BH148,step02图片链接!B:M,12,0)=""),"",VLOOKUP(BH148,step02图片链接!B:M,12,0))</f>
        <v/>
      </c>
      <c r="AQ148" t="str">
        <f ca="1">IF(OR(B148="",VLOOKUP(BH148,step02图片链接!B:N,13,0)=""),"",VLOOKUP(BH148,step02图片链接!B:N,13,0))</f>
        <v/>
      </c>
      <c r="AS148" t="str">
        <f ca="1" t="shared" si="113"/>
        <v/>
      </c>
      <c r="AT148" t="str">
        <f ca="1" t="shared" si="114"/>
        <v/>
      </c>
      <c r="AU148" t="str">
        <f ca="1" t="shared" si="98"/>
        <v/>
      </c>
      <c r="AV148" t="str">
        <f ca="1">IF(B148="","",step01标题尺码信息!$T$36)</f>
        <v/>
      </c>
      <c r="AZ148" t="str">
        <f ca="1">IF(B148="","",step01标题尺码信息!$S$41)</f>
        <v/>
      </c>
      <c r="BA148" t="str">
        <f ca="1">IF(B148="","",step01标题尺码信息!$S$43)</f>
        <v/>
      </c>
      <c r="BB148" t="str">
        <f ca="1">IF(B148="","",step01标题尺码信息!$S$45)</f>
        <v/>
      </c>
      <c r="BC148" t="str">
        <f ca="1">IF(B148="","",step01标题尺码信息!$S$47)</f>
        <v/>
      </c>
      <c r="BD148" t="str">
        <f ca="1">IF(B148="","",step01标题尺码信息!$S$49)</f>
        <v/>
      </c>
      <c r="BE148" t="str">
        <f ca="1">IF(B148="","",step01标题尺码信息!$S$53)</f>
        <v/>
      </c>
      <c r="BH148" t="str">
        <f ca="1">IF(B148="","",IF(DX148="Parent","",VLOOKUP(B148,step01标题尺码信息!G:P,7,0)))</f>
        <v/>
      </c>
      <c r="BI148" t="str">
        <f ca="1">IF(B148="","",IF(DX148="Parent","",VLOOKUP(B148,step01标题尺码信息!G:P,8,0)))</f>
        <v/>
      </c>
      <c r="BK148" t="str">
        <f ca="1" t="shared" si="99"/>
        <v/>
      </c>
      <c r="BL148" t="str">
        <f ca="1" t="shared" si="100"/>
        <v/>
      </c>
      <c r="BO148" t="str">
        <f ca="1" t="shared" si="101"/>
        <v/>
      </c>
      <c r="BR148" t="str">
        <f ca="1">IF(B148="","",IF(AS148="Parent","",VLOOKUP(B148,step01标题尺码信息!G:P,9,0)))</f>
        <v/>
      </c>
      <c r="CY148" t="str">
        <f ca="1" t="shared" si="102"/>
        <v/>
      </c>
      <c r="DG148" t="str">
        <f ca="1">IF(B148="","",step01标题尺码信息!$T$30)</f>
        <v/>
      </c>
      <c r="DH148" t="str">
        <f ca="1" t="shared" si="103"/>
        <v/>
      </c>
      <c r="DN148" t="str">
        <f ca="1" t="shared" si="104"/>
        <v/>
      </c>
      <c r="DW148" t="str">
        <f ca="1" t="shared" si="105"/>
        <v/>
      </c>
      <c r="ER148" t="str">
        <f ca="1">IF(B148="","",step01标题尺码信息!$T$37)</f>
        <v/>
      </c>
      <c r="ES148" t="str">
        <f ca="1" t="shared" si="106"/>
        <v/>
      </c>
      <c r="HF148" t="str">
        <f ca="1">IF(B148="","",step01标题尺码信息!$S$2)</f>
        <v/>
      </c>
      <c r="HH148" t="str">
        <f ca="1" t="shared" si="107"/>
        <v/>
      </c>
      <c r="HI148" t="str">
        <f ca="1" t="shared" si="108"/>
        <v/>
      </c>
      <c r="HL148" t="str">
        <f ca="1" t="shared" si="109"/>
        <v/>
      </c>
      <c r="IA148" t="str">
        <f ca="1" t="shared" si="110"/>
        <v/>
      </c>
    </row>
    <row r="149" spans="1:235">
      <c r="A149" t="str">
        <f ca="1">IF(B149="","",step01标题尺码信息!$B$3)</f>
        <v/>
      </c>
      <c r="B149" t="str">
        <f ca="1">IF(step01标题尺码信息!G151="","",step01标题尺码信息!G151)</f>
        <v/>
      </c>
      <c r="C149" t="str">
        <f ca="1">IF(B149="","",step01标题尺码信息!$E$3)</f>
        <v/>
      </c>
      <c r="D149" t="str">
        <f ca="1" t="shared" si="92"/>
        <v/>
      </c>
      <c r="E149" t="str">
        <f ca="1">IF(B149="","",VLOOKUP(B149,step01标题尺码信息!G:P,4,0))</f>
        <v/>
      </c>
      <c r="H149" t="str">
        <f ca="1">IF(B149="","",step01标题尺码信息!$R$19)</f>
        <v/>
      </c>
      <c r="I149" t="str">
        <f ca="1" t="shared" si="93"/>
        <v/>
      </c>
      <c r="M149" t="str">
        <f ca="1" t="shared" si="94"/>
        <v/>
      </c>
      <c r="U149" t="str">
        <f ca="1">IF(B149="","",step01标题尺码信息!$S$1)</f>
        <v/>
      </c>
      <c r="V149" t="str">
        <f ca="1" t="shared" si="95"/>
        <v/>
      </c>
      <c r="W149" t="str">
        <f ca="1">IF(B149="","",step01标题尺码信息!$V$1)</f>
        <v/>
      </c>
      <c r="X149" t="str">
        <f ca="1">IF(B149="","",step01标题尺码信息!$V$2)</f>
        <v/>
      </c>
      <c r="Y149" t="str">
        <f ca="1" t="shared" si="96"/>
        <v/>
      </c>
      <c r="Z149" t="str">
        <f ca="1" t="shared" si="97"/>
        <v/>
      </c>
      <c r="AA149" t="str">
        <f ca="1">IF(B149="","",IF(CB149="Parent","",VLOOKUP(B149,step01标题尺码信息!G:P,9,0)))</f>
        <v/>
      </c>
      <c r="AG149" t="str">
        <f ca="1" t="shared" si="111"/>
        <v/>
      </c>
      <c r="AH149" t="str">
        <f ca="1" t="shared" si="112"/>
        <v/>
      </c>
      <c r="AI149" t="str">
        <f ca="1">IF(OR(B149="",VLOOKUP(BH149,step02图片链接!B:E,4,0)=""),"",VLOOKUP(BH149,step02图片链接!B:E,4,0))</f>
        <v/>
      </c>
      <c r="AJ149" t="str">
        <f ca="1">IF(OR(B149="",VLOOKUP(BH149,step02图片链接!B:G,6,0)=""),"",VLOOKUP(BH149,step02图片链接!B:G,6,0))</f>
        <v/>
      </c>
      <c r="AK149" t="str">
        <f ca="1">IF(OR(B149="",VLOOKUP(BH149,step02图片链接!B:H,7,0)=""),"",VLOOKUP(BH149,step02图片链接!B:H,7,0))</f>
        <v/>
      </c>
      <c r="AL149" t="str">
        <f ca="1">IF(OR(B149="",VLOOKUP(BH149,step02图片链接!B:I,8,0)=""),"",VLOOKUP(BH149,step02图片链接!B:I,8,0))</f>
        <v/>
      </c>
      <c r="AM149" t="str">
        <f ca="1">IF(OR(B149="",VLOOKUP(BH149,step02图片链接!B:J,9,0)=""),"",VLOOKUP(BH149,step02图片链接!B:J,9,0))</f>
        <v/>
      </c>
      <c r="AN149" t="str">
        <f ca="1">IF(OR(B149="",VLOOKUP(BH149,step02图片链接!B:K,10,0)=""),"",VLOOKUP(BH149,step02图片链接!B:K,10,0))</f>
        <v/>
      </c>
      <c r="AO149" t="str">
        <f ca="1">IF(OR(B149="",VLOOKUP(BH149,step02图片链接!B:L,11,0)=""),"",VLOOKUP(BH149,step02图片链接!B:L,11,0))</f>
        <v/>
      </c>
      <c r="AP149" t="str">
        <f ca="1">IF(OR(B149="",VLOOKUP(BH149,step02图片链接!B:M,12,0)=""),"",VLOOKUP(BH149,step02图片链接!B:M,12,0))</f>
        <v/>
      </c>
      <c r="AQ149" t="str">
        <f ca="1">IF(OR(B149="",VLOOKUP(BH149,step02图片链接!B:N,13,0)=""),"",VLOOKUP(BH149,step02图片链接!B:N,13,0))</f>
        <v/>
      </c>
      <c r="AS149" t="str">
        <f ca="1" t="shared" si="113"/>
        <v/>
      </c>
      <c r="AT149" t="str">
        <f ca="1" t="shared" si="114"/>
        <v/>
      </c>
      <c r="AU149" t="str">
        <f ca="1" t="shared" si="98"/>
        <v/>
      </c>
      <c r="AV149" t="str">
        <f ca="1">IF(B149="","",step01标题尺码信息!$T$36)</f>
        <v/>
      </c>
      <c r="AZ149" t="str">
        <f ca="1">IF(B149="","",step01标题尺码信息!$S$41)</f>
        <v/>
      </c>
      <c r="BA149" t="str">
        <f ca="1">IF(B149="","",step01标题尺码信息!$S$43)</f>
        <v/>
      </c>
      <c r="BB149" t="str">
        <f ca="1">IF(B149="","",step01标题尺码信息!$S$45)</f>
        <v/>
      </c>
      <c r="BC149" t="str">
        <f ca="1">IF(B149="","",step01标题尺码信息!$S$47)</f>
        <v/>
      </c>
      <c r="BD149" t="str">
        <f ca="1">IF(B149="","",step01标题尺码信息!$S$49)</f>
        <v/>
      </c>
      <c r="BE149" t="str">
        <f ca="1">IF(B149="","",step01标题尺码信息!$S$53)</f>
        <v/>
      </c>
      <c r="BH149" t="str">
        <f ca="1">IF(B149="","",IF(DX149="Parent","",VLOOKUP(B149,step01标题尺码信息!G:P,7,0)))</f>
        <v/>
      </c>
      <c r="BI149" t="str">
        <f ca="1">IF(B149="","",IF(DX149="Parent","",VLOOKUP(B149,step01标题尺码信息!G:P,8,0)))</f>
        <v/>
      </c>
      <c r="BK149" t="str">
        <f ca="1" t="shared" si="99"/>
        <v/>
      </c>
      <c r="BL149" t="str">
        <f ca="1" t="shared" si="100"/>
        <v/>
      </c>
      <c r="BO149" t="str">
        <f ca="1" t="shared" si="101"/>
        <v/>
      </c>
      <c r="BR149" t="str">
        <f ca="1">IF(B149="","",IF(AS149="Parent","",VLOOKUP(B149,step01标题尺码信息!G:P,9,0)))</f>
        <v/>
      </c>
      <c r="CY149" t="str">
        <f ca="1" t="shared" si="102"/>
        <v/>
      </c>
      <c r="DG149" t="str">
        <f ca="1">IF(B149="","",step01标题尺码信息!$T$30)</f>
        <v/>
      </c>
      <c r="DH149" t="str">
        <f ca="1" t="shared" si="103"/>
        <v/>
      </c>
      <c r="DN149" t="str">
        <f ca="1" t="shared" si="104"/>
        <v/>
      </c>
      <c r="DW149" t="str">
        <f ca="1" t="shared" si="105"/>
        <v/>
      </c>
      <c r="ER149" t="str">
        <f ca="1">IF(B149="","",step01标题尺码信息!$T$37)</f>
        <v/>
      </c>
      <c r="ES149" t="str">
        <f ca="1" t="shared" si="106"/>
        <v/>
      </c>
      <c r="HF149" t="str">
        <f ca="1">IF(B149="","",step01标题尺码信息!$S$2)</f>
        <v/>
      </c>
      <c r="HH149" t="str">
        <f ca="1" t="shared" si="107"/>
        <v/>
      </c>
      <c r="HI149" t="str">
        <f ca="1" t="shared" si="108"/>
        <v/>
      </c>
      <c r="HL149" t="str">
        <f ca="1" t="shared" si="109"/>
        <v/>
      </c>
      <c r="IA149" t="str">
        <f ca="1" t="shared" si="110"/>
        <v/>
      </c>
    </row>
    <row r="150" spans="1:235">
      <c r="A150" t="str">
        <f ca="1">IF(B150="","",step01标题尺码信息!$B$3)</f>
        <v/>
      </c>
      <c r="B150" t="str">
        <f ca="1">IF(step01标题尺码信息!G152="","",step01标题尺码信息!G152)</f>
        <v/>
      </c>
      <c r="C150" t="str">
        <f ca="1">IF(B150="","",step01标题尺码信息!$E$3)</f>
        <v/>
      </c>
      <c r="D150" t="str">
        <f ca="1" t="shared" si="92"/>
        <v/>
      </c>
      <c r="E150" t="str">
        <f ca="1">IF(B150="","",VLOOKUP(B150,step01标题尺码信息!G:P,4,0))</f>
        <v/>
      </c>
      <c r="H150" t="str">
        <f ca="1">IF(B150="","",step01标题尺码信息!$R$19)</f>
        <v/>
      </c>
      <c r="I150" t="str">
        <f ca="1" t="shared" si="93"/>
        <v/>
      </c>
      <c r="M150" t="str">
        <f ca="1" t="shared" si="94"/>
        <v/>
      </c>
      <c r="U150" t="str">
        <f ca="1">IF(B150="","",step01标题尺码信息!$S$1)</f>
        <v/>
      </c>
      <c r="V150" t="str">
        <f ca="1" t="shared" si="95"/>
        <v/>
      </c>
      <c r="W150" t="str">
        <f ca="1">IF(B150="","",step01标题尺码信息!$V$1)</f>
        <v/>
      </c>
      <c r="X150" t="str">
        <f ca="1">IF(B150="","",step01标题尺码信息!$V$2)</f>
        <v/>
      </c>
      <c r="Y150" t="str">
        <f ca="1" t="shared" si="96"/>
        <v/>
      </c>
      <c r="Z150" t="str">
        <f ca="1" t="shared" si="97"/>
        <v/>
      </c>
      <c r="AA150" t="str">
        <f ca="1">IF(B150="","",IF(CB150="Parent","",VLOOKUP(B150,step01标题尺码信息!G:P,9,0)))</f>
        <v/>
      </c>
      <c r="AG150" t="str">
        <f ca="1" t="shared" si="111"/>
        <v/>
      </c>
      <c r="AH150" t="str">
        <f ca="1" t="shared" si="112"/>
        <v/>
      </c>
      <c r="AI150" t="str">
        <f ca="1">IF(OR(B150="",VLOOKUP(BH150,step02图片链接!B:E,4,0)=""),"",VLOOKUP(BH150,step02图片链接!B:E,4,0))</f>
        <v/>
      </c>
      <c r="AJ150" t="str">
        <f ca="1">IF(OR(B150="",VLOOKUP(BH150,step02图片链接!B:G,6,0)=""),"",VLOOKUP(BH150,step02图片链接!B:G,6,0))</f>
        <v/>
      </c>
      <c r="AK150" t="str">
        <f ca="1">IF(OR(B150="",VLOOKUP(BH150,step02图片链接!B:H,7,0)=""),"",VLOOKUP(BH150,step02图片链接!B:H,7,0))</f>
        <v/>
      </c>
      <c r="AL150" t="str">
        <f ca="1">IF(OR(B150="",VLOOKUP(BH150,step02图片链接!B:I,8,0)=""),"",VLOOKUP(BH150,step02图片链接!B:I,8,0))</f>
        <v/>
      </c>
      <c r="AM150" t="str">
        <f ca="1">IF(OR(B150="",VLOOKUP(BH150,step02图片链接!B:J,9,0)=""),"",VLOOKUP(BH150,step02图片链接!B:J,9,0))</f>
        <v/>
      </c>
      <c r="AN150" t="str">
        <f ca="1">IF(OR(B150="",VLOOKUP(BH150,step02图片链接!B:K,10,0)=""),"",VLOOKUP(BH150,step02图片链接!B:K,10,0))</f>
        <v/>
      </c>
      <c r="AO150" t="str">
        <f ca="1">IF(OR(B150="",VLOOKUP(BH150,step02图片链接!B:L,11,0)=""),"",VLOOKUP(BH150,step02图片链接!B:L,11,0))</f>
        <v/>
      </c>
      <c r="AP150" t="str">
        <f ca="1">IF(OR(B150="",VLOOKUP(BH150,step02图片链接!B:M,12,0)=""),"",VLOOKUP(BH150,step02图片链接!B:M,12,0))</f>
        <v/>
      </c>
      <c r="AQ150" t="str">
        <f ca="1">IF(OR(B150="",VLOOKUP(BH150,step02图片链接!B:N,13,0)=""),"",VLOOKUP(BH150,step02图片链接!B:N,13,0))</f>
        <v/>
      </c>
      <c r="AS150" t="str">
        <f ca="1" t="shared" si="113"/>
        <v/>
      </c>
      <c r="AT150" t="str">
        <f ca="1" t="shared" si="114"/>
        <v/>
      </c>
      <c r="AU150" t="str">
        <f ca="1" t="shared" si="98"/>
        <v/>
      </c>
      <c r="AV150" t="str">
        <f ca="1">IF(B150="","",step01标题尺码信息!$T$36)</f>
        <v/>
      </c>
      <c r="AZ150" t="str">
        <f ca="1">IF(B150="","",step01标题尺码信息!$S$41)</f>
        <v/>
      </c>
      <c r="BA150" t="str">
        <f ca="1">IF(B150="","",step01标题尺码信息!$S$43)</f>
        <v/>
      </c>
      <c r="BB150" t="str">
        <f ca="1">IF(B150="","",step01标题尺码信息!$S$45)</f>
        <v/>
      </c>
      <c r="BC150" t="str">
        <f ca="1">IF(B150="","",step01标题尺码信息!$S$47)</f>
        <v/>
      </c>
      <c r="BD150" t="str">
        <f ca="1">IF(B150="","",step01标题尺码信息!$S$49)</f>
        <v/>
      </c>
      <c r="BE150" t="str">
        <f ca="1">IF(B150="","",step01标题尺码信息!$S$53)</f>
        <v/>
      </c>
      <c r="BH150" t="str">
        <f ca="1">IF(B150="","",IF(DX150="Parent","",VLOOKUP(B150,step01标题尺码信息!G:P,7,0)))</f>
        <v/>
      </c>
      <c r="BI150" t="str">
        <f ca="1">IF(B150="","",IF(DX150="Parent","",VLOOKUP(B150,step01标题尺码信息!G:P,8,0)))</f>
        <v/>
      </c>
      <c r="BK150" t="str">
        <f ca="1" t="shared" si="99"/>
        <v/>
      </c>
      <c r="BL150" t="str">
        <f ca="1" t="shared" si="100"/>
        <v/>
      </c>
      <c r="BO150" t="str">
        <f ca="1" t="shared" si="101"/>
        <v/>
      </c>
      <c r="BR150" t="str">
        <f ca="1">IF(B150="","",IF(AS150="Parent","",VLOOKUP(B150,step01标题尺码信息!G:P,9,0)))</f>
        <v/>
      </c>
      <c r="CY150" t="str">
        <f ca="1" t="shared" si="102"/>
        <v/>
      </c>
      <c r="DG150" t="str">
        <f ca="1">IF(B150="","",step01标题尺码信息!$T$30)</f>
        <v/>
      </c>
      <c r="DH150" t="str">
        <f ca="1" t="shared" si="103"/>
        <v/>
      </c>
      <c r="DN150" t="str">
        <f ca="1" t="shared" si="104"/>
        <v/>
      </c>
      <c r="DW150" t="str">
        <f ca="1" t="shared" si="105"/>
        <v/>
      </c>
      <c r="ER150" t="str">
        <f ca="1">IF(B150="","",step01标题尺码信息!$T$37)</f>
        <v/>
      </c>
      <c r="ES150" t="str">
        <f ca="1" t="shared" si="106"/>
        <v/>
      </c>
      <c r="HF150" t="str">
        <f ca="1">IF(B150="","",step01标题尺码信息!$S$2)</f>
        <v/>
      </c>
      <c r="HH150" t="str">
        <f ca="1" t="shared" si="107"/>
        <v/>
      </c>
      <c r="HI150" t="str">
        <f ca="1" t="shared" si="108"/>
        <v/>
      </c>
      <c r="HL150" t="str">
        <f ca="1" t="shared" si="109"/>
        <v/>
      </c>
      <c r="IA150" t="str">
        <f ca="1" t="shared" si="110"/>
        <v/>
      </c>
    </row>
    <row r="151" spans="1:235">
      <c r="A151" t="str">
        <f ca="1">IF(B151="","",step01标题尺码信息!$B$3)</f>
        <v/>
      </c>
      <c r="B151" t="str">
        <f ca="1">IF(step01标题尺码信息!G153="","",step01标题尺码信息!G153)</f>
        <v/>
      </c>
      <c r="C151" t="str">
        <f ca="1">IF(B151="","",step01标题尺码信息!$E$3)</f>
        <v/>
      </c>
      <c r="D151" t="str">
        <f ca="1" t="shared" si="92"/>
        <v/>
      </c>
      <c r="E151" t="str">
        <f ca="1">IF(B151="","",VLOOKUP(B151,step01标题尺码信息!G:P,4,0))</f>
        <v/>
      </c>
      <c r="H151" t="str">
        <f ca="1">IF(B151="","",step01标题尺码信息!$R$19)</f>
        <v/>
      </c>
      <c r="I151" t="str">
        <f ca="1" t="shared" si="93"/>
        <v/>
      </c>
      <c r="M151" t="str">
        <f ca="1" t="shared" si="94"/>
        <v/>
      </c>
      <c r="U151" t="str">
        <f ca="1">IF(B151="","",step01标题尺码信息!$S$1)</f>
        <v/>
      </c>
      <c r="V151" t="str">
        <f ca="1" t="shared" si="95"/>
        <v/>
      </c>
      <c r="W151" t="str">
        <f ca="1">IF(B151="","",step01标题尺码信息!$V$1)</f>
        <v/>
      </c>
      <c r="X151" t="str">
        <f ca="1">IF(B151="","",step01标题尺码信息!$V$2)</f>
        <v/>
      </c>
      <c r="Y151" t="str">
        <f ca="1" t="shared" si="96"/>
        <v/>
      </c>
      <c r="Z151" t="str">
        <f ca="1" t="shared" si="97"/>
        <v/>
      </c>
      <c r="AA151" t="str">
        <f ca="1">IF(B151="","",IF(CB151="Parent","",VLOOKUP(B151,step01标题尺码信息!G:P,9,0)))</f>
        <v/>
      </c>
      <c r="AG151" t="str">
        <f ca="1" t="shared" si="111"/>
        <v/>
      </c>
      <c r="AH151" t="str">
        <f ca="1" t="shared" si="112"/>
        <v/>
      </c>
      <c r="AI151" t="str">
        <f ca="1">IF(OR(B151="",VLOOKUP(BH151,step02图片链接!B:E,4,0)=""),"",VLOOKUP(BH151,step02图片链接!B:E,4,0))</f>
        <v/>
      </c>
      <c r="AJ151" t="str">
        <f ca="1">IF(OR(B151="",VLOOKUP(BH151,step02图片链接!B:G,6,0)=""),"",VLOOKUP(BH151,step02图片链接!B:G,6,0))</f>
        <v/>
      </c>
      <c r="AK151" t="str">
        <f ca="1">IF(OR(B151="",VLOOKUP(BH151,step02图片链接!B:H,7,0)=""),"",VLOOKUP(BH151,step02图片链接!B:H,7,0))</f>
        <v/>
      </c>
      <c r="AL151" t="str">
        <f ca="1">IF(OR(B151="",VLOOKUP(BH151,step02图片链接!B:I,8,0)=""),"",VLOOKUP(BH151,step02图片链接!B:I,8,0))</f>
        <v/>
      </c>
      <c r="AM151" t="str">
        <f ca="1">IF(OR(B151="",VLOOKUP(BH151,step02图片链接!B:J,9,0)=""),"",VLOOKUP(BH151,step02图片链接!B:J,9,0))</f>
        <v/>
      </c>
      <c r="AN151" t="str">
        <f ca="1">IF(OR(B151="",VLOOKUP(BH151,step02图片链接!B:K,10,0)=""),"",VLOOKUP(BH151,step02图片链接!B:K,10,0))</f>
        <v/>
      </c>
      <c r="AO151" t="str">
        <f ca="1">IF(OR(B151="",VLOOKUP(BH151,step02图片链接!B:L,11,0)=""),"",VLOOKUP(BH151,step02图片链接!B:L,11,0))</f>
        <v/>
      </c>
      <c r="AP151" t="str">
        <f ca="1">IF(OR(B151="",VLOOKUP(BH151,step02图片链接!B:M,12,0)=""),"",VLOOKUP(BH151,step02图片链接!B:M,12,0))</f>
        <v/>
      </c>
      <c r="AQ151" t="str">
        <f ca="1">IF(OR(B151="",VLOOKUP(BH151,step02图片链接!B:N,13,0)=""),"",VLOOKUP(BH151,step02图片链接!B:N,13,0))</f>
        <v/>
      </c>
      <c r="AS151" t="str">
        <f ca="1" t="shared" si="113"/>
        <v/>
      </c>
      <c r="AT151" t="str">
        <f ca="1" t="shared" si="114"/>
        <v/>
      </c>
      <c r="AU151" t="str">
        <f ca="1" t="shared" si="98"/>
        <v/>
      </c>
      <c r="AV151" t="str">
        <f ca="1">IF(B151="","",step01标题尺码信息!$T$36)</f>
        <v/>
      </c>
      <c r="AZ151" t="str">
        <f ca="1">IF(B151="","",step01标题尺码信息!$S$41)</f>
        <v/>
      </c>
      <c r="BA151" t="str">
        <f ca="1">IF(B151="","",step01标题尺码信息!$S$43)</f>
        <v/>
      </c>
      <c r="BB151" t="str">
        <f ca="1">IF(B151="","",step01标题尺码信息!$S$45)</f>
        <v/>
      </c>
      <c r="BC151" t="str">
        <f ca="1">IF(B151="","",step01标题尺码信息!$S$47)</f>
        <v/>
      </c>
      <c r="BD151" t="str">
        <f ca="1">IF(B151="","",step01标题尺码信息!$S$49)</f>
        <v/>
      </c>
      <c r="BE151" t="str">
        <f ca="1">IF(B151="","",step01标题尺码信息!$S$53)</f>
        <v/>
      </c>
      <c r="BH151" t="str">
        <f ca="1">IF(B151="","",IF(DX151="Parent","",VLOOKUP(B151,step01标题尺码信息!G:P,7,0)))</f>
        <v/>
      </c>
      <c r="BI151" t="str">
        <f ca="1">IF(B151="","",IF(DX151="Parent","",VLOOKUP(B151,step01标题尺码信息!G:P,8,0)))</f>
        <v/>
      </c>
      <c r="BK151" t="str">
        <f ca="1" t="shared" si="99"/>
        <v/>
      </c>
      <c r="BL151" t="str">
        <f ca="1" t="shared" si="100"/>
        <v/>
      </c>
      <c r="BO151" t="str">
        <f ca="1" t="shared" si="101"/>
        <v/>
      </c>
      <c r="BR151" t="str">
        <f ca="1">IF(B151="","",IF(AS151="Parent","",VLOOKUP(B151,step01标题尺码信息!G:P,9,0)))</f>
        <v/>
      </c>
      <c r="CY151" t="str">
        <f ca="1" t="shared" si="102"/>
        <v/>
      </c>
      <c r="DG151" t="str">
        <f ca="1">IF(B151="","",step01标题尺码信息!$T$30)</f>
        <v/>
      </c>
      <c r="DH151" t="str">
        <f ca="1" t="shared" si="103"/>
        <v/>
      </c>
      <c r="DN151" t="str">
        <f ca="1" t="shared" si="104"/>
        <v/>
      </c>
      <c r="DW151" t="str">
        <f ca="1" t="shared" si="105"/>
        <v/>
      </c>
      <c r="ER151" t="str">
        <f ca="1">IF(B151="","",step01标题尺码信息!$T$37)</f>
        <v/>
      </c>
      <c r="ES151" t="str">
        <f ca="1" t="shared" si="106"/>
        <v/>
      </c>
      <c r="HF151" t="str">
        <f ca="1">IF(B151="","",step01标题尺码信息!$S$2)</f>
        <v/>
      </c>
      <c r="HH151" t="str">
        <f ca="1" t="shared" si="107"/>
        <v/>
      </c>
      <c r="HI151" t="str">
        <f ca="1" t="shared" si="108"/>
        <v/>
      </c>
      <c r="HL151" t="str">
        <f ca="1" t="shared" si="109"/>
        <v/>
      </c>
      <c r="IA151" t="str">
        <f ca="1" t="shared" si="110"/>
        <v/>
      </c>
    </row>
    <row r="152" spans="1:235">
      <c r="A152" t="str">
        <f ca="1">IF(B152="","",step01标题尺码信息!$B$3)</f>
        <v/>
      </c>
      <c r="B152" t="str">
        <f ca="1">IF(step01标题尺码信息!G154="","",step01标题尺码信息!G154)</f>
        <v/>
      </c>
      <c r="C152" t="str">
        <f ca="1">IF(B152="","",step01标题尺码信息!$E$3)</f>
        <v/>
      </c>
      <c r="D152" t="str">
        <f ca="1" t="shared" si="92"/>
        <v/>
      </c>
      <c r="E152" t="str">
        <f ca="1">IF(B152="","",VLOOKUP(B152,step01标题尺码信息!G:P,4,0))</f>
        <v/>
      </c>
      <c r="H152" t="str">
        <f ca="1">IF(B152="","",step01标题尺码信息!$R$19)</f>
        <v/>
      </c>
      <c r="I152" t="str">
        <f ca="1" t="shared" si="93"/>
        <v/>
      </c>
      <c r="M152" t="str">
        <f ca="1" t="shared" si="94"/>
        <v/>
      </c>
      <c r="U152" t="str">
        <f ca="1">IF(B152="","",step01标题尺码信息!$S$1)</f>
        <v/>
      </c>
      <c r="V152" t="str">
        <f ca="1" t="shared" si="95"/>
        <v/>
      </c>
      <c r="W152" t="str">
        <f ca="1">IF(B152="","",step01标题尺码信息!$V$1)</f>
        <v/>
      </c>
      <c r="X152" t="str">
        <f ca="1">IF(B152="","",step01标题尺码信息!$V$2)</f>
        <v/>
      </c>
      <c r="Y152" t="str">
        <f ca="1" t="shared" si="96"/>
        <v/>
      </c>
      <c r="Z152" t="str">
        <f ca="1" t="shared" si="97"/>
        <v/>
      </c>
      <c r="AA152" t="str">
        <f ca="1">IF(B152="","",IF(CB152="Parent","",VLOOKUP(B152,step01标题尺码信息!G:P,9,0)))</f>
        <v/>
      </c>
      <c r="AG152" t="str">
        <f ca="1" t="shared" si="111"/>
        <v/>
      </c>
      <c r="AH152" t="str">
        <f ca="1" t="shared" si="112"/>
        <v/>
      </c>
      <c r="AI152" t="str">
        <f ca="1">IF(OR(B152="",VLOOKUP(BH152,step02图片链接!B:E,4,0)=""),"",VLOOKUP(BH152,step02图片链接!B:E,4,0))</f>
        <v/>
      </c>
      <c r="AJ152" t="str">
        <f ca="1">IF(OR(B152="",VLOOKUP(BH152,step02图片链接!B:G,6,0)=""),"",VLOOKUP(BH152,step02图片链接!B:G,6,0))</f>
        <v/>
      </c>
      <c r="AK152" t="str">
        <f ca="1">IF(OR(B152="",VLOOKUP(BH152,step02图片链接!B:H,7,0)=""),"",VLOOKUP(BH152,step02图片链接!B:H,7,0))</f>
        <v/>
      </c>
      <c r="AL152" t="str">
        <f ca="1">IF(OR(B152="",VLOOKUP(BH152,step02图片链接!B:I,8,0)=""),"",VLOOKUP(BH152,step02图片链接!B:I,8,0))</f>
        <v/>
      </c>
      <c r="AM152" t="str">
        <f ca="1">IF(OR(B152="",VLOOKUP(BH152,step02图片链接!B:J,9,0)=""),"",VLOOKUP(BH152,step02图片链接!B:J,9,0))</f>
        <v/>
      </c>
      <c r="AN152" t="str">
        <f ca="1">IF(OR(B152="",VLOOKUP(BH152,step02图片链接!B:K,10,0)=""),"",VLOOKUP(BH152,step02图片链接!B:K,10,0))</f>
        <v/>
      </c>
      <c r="AO152" t="str">
        <f ca="1">IF(OR(B152="",VLOOKUP(BH152,step02图片链接!B:L,11,0)=""),"",VLOOKUP(BH152,step02图片链接!B:L,11,0))</f>
        <v/>
      </c>
      <c r="AP152" t="str">
        <f ca="1">IF(OR(B152="",VLOOKUP(BH152,step02图片链接!B:M,12,0)=""),"",VLOOKUP(BH152,step02图片链接!B:M,12,0))</f>
        <v/>
      </c>
      <c r="AQ152" t="str">
        <f ca="1">IF(OR(B152="",VLOOKUP(BH152,step02图片链接!B:N,13,0)=""),"",VLOOKUP(BH152,step02图片链接!B:N,13,0))</f>
        <v/>
      </c>
      <c r="AS152" t="str">
        <f ca="1" t="shared" si="113"/>
        <v/>
      </c>
      <c r="AT152" t="str">
        <f ca="1" t="shared" si="114"/>
        <v/>
      </c>
      <c r="AU152" t="str">
        <f ca="1" t="shared" si="98"/>
        <v/>
      </c>
      <c r="AV152" t="str">
        <f ca="1">IF(B152="","",step01标题尺码信息!$T$36)</f>
        <v/>
      </c>
      <c r="AZ152" t="str">
        <f ca="1">IF(B152="","",step01标题尺码信息!$S$41)</f>
        <v/>
      </c>
      <c r="BA152" t="str">
        <f ca="1">IF(B152="","",step01标题尺码信息!$S$43)</f>
        <v/>
      </c>
      <c r="BB152" t="str">
        <f ca="1">IF(B152="","",step01标题尺码信息!$S$45)</f>
        <v/>
      </c>
      <c r="BC152" t="str">
        <f ca="1">IF(B152="","",step01标题尺码信息!$S$47)</f>
        <v/>
      </c>
      <c r="BD152" t="str">
        <f ca="1">IF(B152="","",step01标题尺码信息!$S$49)</f>
        <v/>
      </c>
      <c r="BE152" t="str">
        <f ca="1">IF(B152="","",step01标题尺码信息!$S$53)</f>
        <v/>
      </c>
      <c r="BH152" t="str">
        <f ca="1">IF(B152="","",IF(DX152="Parent","",VLOOKUP(B152,step01标题尺码信息!G:P,7,0)))</f>
        <v/>
      </c>
      <c r="BI152" t="str">
        <f ca="1">IF(B152="","",IF(DX152="Parent","",VLOOKUP(B152,step01标题尺码信息!G:P,8,0)))</f>
        <v/>
      </c>
      <c r="BK152" t="str">
        <f ca="1" t="shared" si="99"/>
        <v/>
      </c>
      <c r="BL152" t="str">
        <f ca="1" t="shared" si="100"/>
        <v/>
      </c>
      <c r="BO152" t="str">
        <f ca="1" t="shared" si="101"/>
        <v/>
      </c>
      <c r="BR152" t="str">
        <f ca="1">IF(B152="","",IF(AS152="Parent","",VLOOKUP(B152,step01标题尺码信息!G:P,9,0)))</f>
        <v/>
      </c>
      <c r="CY152" t="str">
        <f ca="1" t="shared" si="102"/>
        <v/>
      </c>
      <c r="DG152" t="str">
        <f ca="1">IF(B152="","",step01标题尺码信息!$T$30)</f>
        <v/>
      </c>
      <c r="DH152" t="str">
        <f ca="1" t="shared" si="103"/>
        <v/>
      </c>
      <c r="DN152" t="str">
        <f ca="1" t="shared" si="104"/>
        <v/>
      </c>
      <c r="DW152" t="str">
        <f ca="1" t="shared" si="105"/>
        <v/>
      </c>
      <c r="ER152" t="str">
        <f ca="1">IF(B152="","",step01标题尺码信息!$T$37)</f>
        <v/>
      </c>
      <c r="ES152" t="str">
        <f ca="1" t="shared" si="106"/>
        <v/>
      </c>
      <c r="HF152" t="str">
        <f ca="1">IF(B152="","",step01标题尺码信息!$S$2)</f>
        <v/>
      </c>
      <c r="HH152" t="str">
        <f ca="1" t="shared" si="107"/>
        <v/>
      </c>
      <c r="HI152" t="str">
        <f ca="1" t="shared" si="108"/>
        <v/>
      </c>
      <c r="HL152" t="str">
        <f ca="1" t="shared" si="109"/>
        <v/>
      </c>
      <c r="IA152" t="str">
        <f ca="1" t="shared" si="110"/>
        <v/>
      </c>
    </row>
    <row r="153" spans="1:235">
      <c r="A153" t="str">
        <f ca="1">IF(B153="","",step01标题尺码信息!$B$3)</f>
        <v/>
      </c>
      <c r="B153" t="str">
        <f ca="1">IF(step01标题尺码信息!G155="","",step01标题尺码信息!G155)</f>
        <v/>
      </c>
      <c r="C153" t="str">
        <f ca="1">IF(B153="","",step01标题尺码信息!$E$3)</f>
        <v/>
      </c>
      <c r="D153" t="str">
        <f ca="1" t="shared" si="92"/>
        <v/>
      </c>
      <c r="E153" t="str">
        <f ca="1">IF(B153="","",VLOOKUP(B153,step01标题尺码信息!G:P,4,0))</f>
        <v/>
      </c>
      <c r="H153" t="str">
        <f ca="1">IF(B153="","",step01标题尺码信息!$R$19)</f>
        <v/>
      </c>
      <c r="I153" t="str">
        <f ca="1" t="shared" si="93"/>
        <v/>
      </c>
      <c r="M153" t="str">
        <f ca="1" t="shared" si="94"/>
        <v/>
      </c>
      <c r="U153" t="str">
        <f ca="1">IF(B153="","",step01标题尺码信息!$S$1)</f>
        <v/>
      </c>
      <c r="V153" t="str">
        <f ca="1" t="shared" si="95"/>
        <v/>
      </c>
      <c r="W153" t="str">
        <f ca="1">IF(B153="","",step01标题尺码信息!$V$1)</f>
        <v/>
      </c>
      <c r="X153" t="str">
        <f ca="1">IF(B153="","",step01标题尺码信息!$V$2)</f>
        <v/>
      </c>
      <c r="Y153" t="str">
        <f ca="1" t="shared" si="96"/>
        <v/>
      </c>
      <c r="Z153" t="str">
        <f ca="1" t="shared" si="97"/>
        <v/>
      </c>
      <c r="AA153" t="str">
        <f ca="1">IF(B153="","",IF(CB153="Parent","",VLOOKUP(B153,step01标题尺码信息!G:P,9,0)))</f>
        <v/>
      </c>
      <c r="AG153" t="str">
        <f ca="1" t="shared" si="111"/>
        <v/>
      </c>
      <c r="AH153" t="str">
        <f ca="1" t="shared" si="112"/>
        <v/>
      </c>
      <c r="AI153" t="str">
        <f ca="1">IF(OR(B153="",VLOOKUP(BH153,step02图片链接!B:E,4,0)=""),"",VLOOKUP(BH153,step02图片链接!B:E,4,0))</f>
        <v/>
      </c>
      <c r="AJ153" t="str">
        <f ca="1">IF(OR(B153="",VLOOKUP(BH153,step02图片链接!B:G,6,0)=""),"",VLOOKUP(BH153,step02图片链接!B:G,6,0))</f>
        <v/>
      </c>
      <c r="AK153" t="str">
        <f ca="1">IF(OR(B153="",VLOOKUP(BH153,step02图片链接!B:H,7,0)=""),"",VLOOKUP(BH153,step02图片链接!B:H,7,0))</f>
        <v/>
      </c>
      <c r="AL153" t="str">
        <f ca="1">IF(OR(B153="",VLOOKUP(BH153,step02图片链接!B:I,8,0)=""),"",VLOOKUP(BH153,step02图片链接!B:I,8,0))</f>
        <v/>
      </c>
      <c r="AM153" t="str">
        <f ca="1">IF(OR(B153="",VLOOKUP(BH153,step02图片链接!B:J,9,0)=""),"",VLOOKUP(BH153,step02图片链接!B:J,9,0))</f>
        <v/>
      </c>
      <c r="AN153" t="str">
        <f ca="1">IF(OR(B153="",VLOOKUP(BH153,step02图片链接!B:K,10,0)=""),"",VLOOKUP(BH153,step02图片链接!B:K,10,0))</f>
        <v/>
      </c>
      <c r="AO153" t="str">
        <f ca="1">IF(OR(B153="",VLOOKUP(BH153,step02图片链接!B:L,11,0)=""),"",VLOOKUP(BH153,step02图片链接!B:L,11,0))</f>
        <v/>
      </c>
      <c r="AP153" t="str">
        <f ca="1">IF(OR(B153="",VLOOKUP(BH153,step02图片链接!B:M,12,0)=""),"",VLOOKUP(BH153,step02图片链接!B:M,12,0))</f>
        <v/>
      </c>
      <c r="AQ153" t="str">
        <f ca="1">IF(OR(B153="",VLOOKUP(BH153,step02图片链接!B:N,13,0)=""),"",VLOOKUP(BH153,step02图片链接!B:N,13,0))</f>
        <v/>
      </c>
      <c r="AS153" t="str">
        <f ca="1" t="shared" si="113"/>
        <v/>
      </c>
      <c r="AT153" t="str">
        <f ca="1" t="shared" si="114"/>
        <v/>
      </c>
      <c r="AU153" t="str">
        <f ca="1" t="shared" si="98"/>
        <v/>
      </c>
      <c r="AV153" t="str">
        <f ca="1">IF(B153="","",step01标题尺码信息!$T$36)</f>
        <v/>
      </c>
      <c r="AZ153" t="str">
        <f ca="1">IF(B153="","",step01标题尺码信息!$S$41)</f>
        <v/>
      </c>
      <c r="BA153" t="str">
        <f ca="1">IF(B153="","",step01标题尺码信息!$S$43)</f>
        <v/>
      </c>
      <c r="BB153" t="str">
        <f ca="1">IF(B153="","",step01标题尺码信息!$S$45)</f>
        <v/>
      </c>
      <c r="BC153" t="str">
        <f ca="1">IF(B153="","",step01标题尺码信息!$S$47)</f>
        <v/>
      </c>
      <c r="BD153" t="str">
        <f ca="1">IF(B153="","",step01标题尺码信息!$S$49)</f>
        <v/>
      </c>
      <c r="BE153" t="str">
        <f ca="1">IF(B153="","",step01标题尺码信息!$S$53)</f>
        <v/>
      </c>
      <c r="BH153" t="str">
        <f ca="1">IF(B153="","",IF(DX153="Parent","",VLOOKUP(B153,step01标题尺码信息!G:P,7,0)))</f>
        <v/>
      </c>
      <c r="BI153" t="str">
        <f ca="1">IF(B153="","",IF(DX153="Parent","",VLOOKUP(B153,step01标题尺码信息!G:P,8,0)))</f>
        <v/>
      </c>
      <c r="BK153" t="str">
        <f ca="1" t="shared" si="99"/>
        <v/>
      </c>
      <c r="BL153" t="str">
        <f ca="1" t="shared" si="100"/>
        <v/>
      </c>
      <c r="BO153" t="str">
        <f ca="1" t="shared" si="101"/>
        <v/>
      </c>
      <c r="BR153" t="str">
        <f ca="1">IF(B153="","",IF(AS153="Parent","",VLOOKUP(B153,step01标题尺码信息!G:P,9,0)))</f>
        <v/>
      </c>
      <c r="CY153" t="str">
        <f ca="1" t="shared" si="102"/>
        <v/>
      </c>
      <c r="DG153" t="str">
        <f ca="1">IF(B153="","",step01标题尺码信息!$T$30)</f>
        <v/>
      </c>
      <c r="DH153" t="str">
        <f ca="1" t="shared" si="103"/>
        <v/>
      </c>
      <c r="DN153" t="str">
        <f ca="1" t="shared" si="104"/>
        <v/>
      </c>
      <c r="DW153" t="str">
        <f ca="1" t="shared" si="105"/>
        <v/>
      </c>
      <c r="ER153" t="str">
        <f ca="1">IF(B153="","",step01标题尺码信息!$T$37)</f>
        <v/>
      </c>
      <c r="ES153" t="str">
        <f ca="1" t="shared" si="106"/>
        <v/>
      </c>
      <c r="HF153" t="str">
        <f ca="1">IF(B153="","",step01标题尺码信息!$S$2)</f>
        <v/>
      </c>
      <c r="HH153" t="str">
        <f ca="1" t="shared" si="107"/>
        <v/>
      </c>
      <c r="HI153" t="str">
        <f ca="1" t="shared" si="108"/>
        <v/>
      </c>
      <c r="HL153" t="str">
        <f ca="1" t="shared" si="109"/>
        <v/>
      </c>
      <c r="IA153" t="str">
        <f ca="1" t="shared" si="110"/>
        <v/>
      </c>
    </row>
    <row r="154" spans="1:235">
      <c r="A154" t="str">
        <f ca="1">IF(B154="","",step01标题尺码信息!$B$3)</f>
        <v/>
      </c>
      <c r="B154" t="str">
        <f ca="1">IF(step01标题尺码信息!G156="","",step01标题尺码信息!G156)</f>
        <v/>
      </c>
      <c r="C154" t="str">
        <f ca="1">IF(B154="","",step01标题尺码信息!$E$3)</f>
        <v/>
      </c>
      <c r="D154" t="str">
        <f ca="1" t="shared" si="92"/>
        <v/>
      </c>
      <c r="E154" t="str">
        <f ca="1">IF(B154="","",VLOOKUP(B154,step01标题尺码信息!G:P,4,0))</f>
        <v/>
      </c>
      <c r="H154" t="str">
        <f ca="1">IF(B154="","",step01标题尺码信息!$R$19)</f>
        <v/>
      </c>
      <c r="I154" t="str">
        <f ca="1" t="shared" si="93"/>
        <v/>
      </c>
      <c r="M154" t="str">
        <f ca="1" t="shared" si="94"/>
        <v/>
      </c>
      <c r="U154" t="str">
        <f ca="1">IF(B154="","",step01标题尺码信息!$S$1)</f>
        <v/>
      </c>
      <c r="V154" t="str">
        <f ca="1" t="shared" si="95"/>
        <v/>
      </c>
      <c r="W154" t="str">
        <f ca="1">IF(B154="","",step01标题尺码信息!$V$1)</f>
        <v/>
      </c>
      <c r="X154" t="str">
        <f ca="1">IF(B154="","",step01标题尺码信息!$V$2)</f>
        <v/>
      </c>
      <c r="Y154" t="str">
        <f ca="1" t="shared" si="96"/>
        <v/>
      </c>
      <c r="Z154" t="str">
        <f ca="1" t="shared" si="97"/>
        <v/>
      </c>
      <c r="AA154" t="str">
        <f ca="1">IF(B154="","",IF(CB154="Parent","",VLOOKUP(B154,step01标题尺码信息!G:P,9,0)))</f>
        <v/>
      </c>
      <c r="AG154" t="str">
        <f ca="1" t="shared" si="111"/>
        <v/>
      </c>
      <c r="AH154" t="str">
        <f ca="1" t="shared" si="112"/>
        <v/>
      </c>
      <c r="AI154" t="str">
        <f ca="1">IF(OR(B154="",VLOOKUP(BH154,step02图片链接!B:E,4,0)=""),"",VLOOKUP(BH154,step02图片链接!B:E,4,0))</f>
        <v/>
      </c>
      <c r="AJ154" t="str">
        <f ca="1">IF(OR(B154="",VLOOKUP(BH154,step02图片链接!B:G,6,0)=""),"",VLOOKUP(BH154,step02图片链接!B:G,6,0))</f>
        <v/>
      </c>
      <c r="AK154" t="str">
        <f ca="1">IF(OR(B154="",VLOOKUP(BH154,step02图片链接!B:H,7,0)=""),"",VLOOKUP(BH154,step02图片链接!B:H,7,0))</f>
        <v/>
      </c>
      <c r="AL154" t="str">
        <f ca="1">IF(OR(B154="",VLOOKUP(BH154,step02图片链接!B:I,8,0)=""),"",VLOOKUP(BH154,step02图片链接!B:I,8,0))</f>
        <v/>
      </c>
      <c r="AM154" t="str">
        <f ca="1">IF(OR(B154="",VLOOKUP(BH154,step02图片链接!B:J,9,0)=""),"",VLOOKUP(BH154,step02图片链接!B:J,9,0))</f>
        <v/>
      </c>
      <c r="AN154" t="str">
        <f ca="1">IF(OR(B154="",VLOOKUP(BH154,step02图片链接!B:K,10,0)=""),"",VLOOKUP(BH154,step02图片链接!B:K,10,0))</f>
        <v/>
      </c>
      <c r="AO154" t="str">
        <f ca="1">IF(OR(B154="",VLOOKUP(BH154,step02图片链接!B:L,11,0)=""),"",VLOOKUP(BH154,step02图片链接!B:L,11,0))</f>
        <v/>
      </c>
      <c r="AP154" t="str">
        <f ca="1">IF(OR(B154="",VLOOKUP(BH154,step02图片链接!B:M,12,0)=""),"",VLOOKUP(BH154,step02图片链接!B:M,12,0))</f>
        <v/>
      </c>
      <c r="AQ154" t="str">
        <f ca="1">IF(OR(B154="",VLOOKUP(BH154,step02图片链接!B:N,13,0)=""),"",VLOOKUP(BH154,step02图片链接!B:N,13,0))</f>
        <v/>
      </c>
      <c r="AS154" t="str">
        <f ca="1" t="shared" si="113"/>
        <v/>
      </c>
      <c r="AT154" t="str">
        <f ca="1" t="shared" si="114"/>
        <v/>
      </c>
      <c r="AU154" t="str">
        <f ca="1" t="shared" si="98"/>
        <v/>
      </c>
      <c r="AV154" t="str">
        <f ca="1">IF(B154="","",step01标题尺码信息!$T$36)</f>
        <v/>
      </c>
      <c r="AZ154" t="str">
        <f ca="1">IF(B154="","",step01标题尺码信息!$S$41)</f>
        <v/>
      </c>
      <c r="BA154" t="str">
        <f ca="1">IF(B154="","",step01标题尺码信息!$S$43)</f>
        <v/>
      </c>
      <c r="BB154" t="str">
        <f ca="1">IF(B154="","",step01标题尺码信息!$S$45)</f>
        <v/>
      </c>
      <c r="BC154" t="str">
        <f ca="1">IF(B154="","",step01标题尺码信息!$S$47)</f>
        <v/>
      </c>
      <c r="BD154" t="str">
        <f ca="1">IF(B154="","",step01标题尺码信息!$S$49)</f>
        <v/>
      </c>
      <c r="BE154" t="str">
        <f ca="1">IF(B154="","",step01标题尺码信息!$S$53)</f>
        <v/>
      </c>
      <c r="BH154" t="str">
        <f ca="1">IF(B154="","",IF(DX154="Parent","",VLOOKUP(B154,step01标题尺码信息!G:P,7,0)))</f>
        <v/>
      </c>
      <c r="BI154" t="str">
        <f ca="1">IF(B154="","",IF(DX154="Parent","",VLOOKUP(B154,step01标题尺码信息!G:P,8,0)))</f>
        <v/>
      </c>
      <c r="BK154" t="str">
        <f ca="1" t="shared" si="99"/>
        <v/>
      </c>
      <c r="BL154" t="str">
        <f ca="1" t="shared" si="100"/>
        <v/>
      </c>
      <c r="BO154" t="str">
        <f ca="1" t="shared" si="101"/>
        <v/>
      </c>
      <c r="BR154" t="str">
        <f ca="1">IF(B154="","",IF(AS154="Parent","",VLOOKUP(B154,step01标题尺码信息!G:P,9,0)))</f>
        <v/>
      </c>
      <c r="CY154" t="str">
        <f ca="1" t="shared" si="102"/>
        <v/>
      </c>
      <c r="DG154" t="str">
        <f ca="1">IF(B154="","",step01标题尺码信息!$T$30)</f>
        <v/>
      </c>
      <c r="DH154" t="str">
        <f ca="1" t="shared" si="103"/>
        <v/>
      </c>
      <c r="DN154" t="str">
        <f ca="1" t="shared" si="104"/>
        <v/>
      </c>
      <c r="DW154" t="str">
        <f ca="1" t="shared" si="105"/>
        <v/>
      </c>
      <c r="ER154" t="str">
        <f ca="1">IF(B154="","",step01标题尺码信息!$T$37)</f>
        <v/>
      </c>
      <c r="ES154" t="str">
        <f ca="1" t="shared" si="106"/>
        <v/>
      </c>
      <c r="HF154" t="str">
        <f ca="1">IF(B154="","",step01标题尺码信息!$S$2)</f>
        <v/>
      </c>
      <c r="HH154" t="str">
        <f ca="1" t="shared" si="107"/>
        <v/>
      </c>
      <c r="HI154" t="str">
        <f ca="1" t="shared" si="108"/>
        <v/>
      </c>
      <c r="HL154" t="str">
        <f ca="1" t="shared" si="109"/>
        <v/>
      </c>
      <c r="IA154" t="str">
        <f ca="1" t="shared" si="110"/>
        <v/>
      </c>
    </row>
    <row r="155" spans="1:235">
      <c r="A155" t="str">
        <f ca="1">IF(B155="","",step01标题尺码信息!$B$3)</f>
        <v/>
      </c>
      <c r="B155" t="str">
        <f ca="1">IF(step01标题尺码信息!G157="","",step01标题尺码信息!G157)</f>
        <v/>
      </c>
      <c r="C155" t="str">
        <f ca="1">IF(B155="","",step01标题尺码信息!$E$3)</f>
        <v/>
      </c>
      <c r="D155" t="str">
        <f ca="1" t="shared" si="92"/>
        <v/>
      </c>
      <c r="E155" t="str">
        <f ca="1">IF(B155="","",VLOOKUP(B155,step01标题尺码信息!G:P,4,0))</f>
        <v/>
      </c>
      <c r="H155" t="str">
        <f ca="1">IF(B155="","",step01标题尺码信息!$R$19)</f>
        <v/>
      </c>
      <c r="I155" t="str">
        <f ca="1" t="shared" si="93"/>
        <v/>
      </c>
      <c r="M155" t="str">
        <f ca="1" t="shared" si="94"/>
        <v/>
      </c>
      <c r="U155" t="str">
        <f ca="1">IF(B155="","",step01标题尺码信息!$S$1)</f>
        <v/>
      </c>
      <c r="V155" t="str">
        <f ca="1" t="shared" si="95"/>
        <v/>
      </c>
      <c r="W155" t="str">
        <f ca="1">IF(B155="","",step01标题尺码信息!$V$1)</f>
        <v/>
      </c>
      <c r="X155" t="str">
        <f ca="1">IF(B155="","",step01标题尺码信息!$V$2)</f>
        <v/>
      </c>
      <c r="Y155" t="str">
        <f ca="1" t="shared" si="96"/>
        <v/>
      </c>
      <c r="Z155" t="str">
        <f ca="1" t="shared" si="97"/>
        <v/>
      </c>
      <c r="AA155" t="str">
        <f ca="1">IF(B155="","",IF(CB155="Parent","",VLOOKUP(B155,step01标题尺码信息!G:P,9,0)))</f>
        <v/>
      </c>
      <c r="AG155" t="str">
        <f ca="1" t="shared" si="111"/>
        <v/>
      </c>
      <c r="AH155" t="str">
        <f ca="1" t="shared" si="112"/>
        <v/>
      </c>
      <c r="AI155" t="str">
        <f ca="1">IF(OR(B155="",VLOOKUP(BH155,step02图片链接!B:E,4,0)=""),"",VLOOKUP(BH155,step02图片链接!B:E,4,0))</f>
        <v/>
      </c>
      <c r="AJ155" t="str">
        <f ca="1">IF(OR(B155="",VLOOKUP(BH155,step02图片链接!B:G,6,0)=""),"",VLOOKUP(BH155,step02图片链接!B:G,6,0))</f>
        <v/>
      </c>
      <c r="AK155" t="str">
        <f ca="1">IF(OR(B155="",VLOOKUP(BH155,step02图片链接!B:H,7,0)=""),"",VLOOKUP(BH155,step02图片链接!B:H,7,0))</f>
        <v/>
      </c>
      <c r="AL155" t="str">
        <f ca="1">IF(OR(B155="",VLOOKUP(BH155,step02图片链接!B:I,8,0)=""),"",VLOOKUP(BH155,step02图片链接!B:I,8,0))</f>
        <v/>
      </c>
      <c r="AM155" t="str">
        <f ca="1">IF(OR(B155="",VLOOKUP(BH155,step02图片链接!B:J,9,0)=""),"",VLOOKUP(BH155,step02图片链接!B:J,9,0))</f>
        <v/>
      </c>
      <c r="AN155" t="str">
        <f ca="1">IF(OR(B155="",VLOOKUP(BH155,step02图片链接!B:K,10,0)=""),"",VLOOKUP(BH155,step02图片链接!B:K,10,0))</f>
        <v/>
      </c>
      <c r="AO155" t="str">
        <f ca="1">IF(OR(B155="",VLOOKUP(BH155,step02图片链接!B:L,11,0)=""),"",VLOOKUP(BH155,step02图片链接!B:L,11,0))</f>
        <v/>
      </c>
      <c r="AP155" t="str">
        <f ca="1">IF(OR(B155="",VLOOKUP(BH155,step02图片链接!B:M,12,0)=""),"",VLOOKUP(BH155,step02图片链接!B:M,12,0))</f>
        <v/>
      </c>
      <c r="AQ155" t="str">
        <f ca="1">IF(OR(B155="",VLOOKUP(BH155,step02图片链接!B:N,13,0)=""),"",VLOOKUP(BH155,step02图片链接!B:N,13,0))</f>
        <v/>
      </c>
      <c r="AS155" t="str">
        <f ca="1" t="shared" si="113"/>
        <v/>
      </c>
      <c r="AT155" t="str">
        <f ca="1" t="shared" si="114"/>
        <v/>
      </c>
      <c r="AU155" t="str">
        <f ca="1" t="shared" si="98"/>
        <v/>
      </c>
      <c r="AV155" t="str">
        <f ca="1">IF(B155="","",step01标题尺码信息!$T$36)</f>
        <v/>
      </c>
      <c r="AZ155" t="str">
        <f ca="1">IF(B155="","",step01标题尺码信息!$S$41)</f>
        <v/>
      </c>
      <c r="BA155" t="str">
        <f ca="1">IF(B155="","",step01标题尺码信息!$S$43)</f>
        <v/>
      </c>
      <c r="BB155" t="str">
        <f ca="1">IF(B155="","",step01标题尺码信息!$S$45)</f>
        <v/>
      </c>
      <c r="BC155" t="str">
        <f ca="1">IF(B155="","",step01标题尺码信息!$S$47)</f>
        <v/>
      </c>
      <c r="BD155" t="str">
        <f ca="1">IF(B155="","",step01标题尺码信息!$S$49)</f>
        <v/>
      </c>
      <c r="BE155" t="str">
        <f ca="1">IF(B155="","",step01标题尺码信息!$S$53)</f>
        <v/>
      </c>
      <c r="BH155" t="str">
        <f ca="1">IF(B155="","",IF(DX155="Parent","",VLOOKUP(B155,step01标题尺码信息!G:P,7,0)))</f>
        <v/>
      </c>
      <c r="BI155" t="str">
        <f ca="1">IF(B155="","",IF(DX155="Parent","",VLOOKUP(B155,step01标题尺码信息!G:P,8,0)))</f>
        <v/>
      </c>
      <c r="BK155" t="str">
        <f ca="1" t="shared" si="99"/>
        <v/>
      </c>
      <c r="BL155" t="str">
        <f ca="1" t="shared" si="100"/>
        <v/>
      </c>
      <c r="BO155" t="str">
        <f ca="1" t="shared" si="101"/>
        <v/>
      </c>
      <c r="BR155" t="str">
        <f ca="1">IF(B155="","",IF(AS155="Parent","",VLOOKUP(B155,step01标题尺码信息!G:P,9,0)))</f>
        <v/>
      </c>
      <c r="CY155" t="str">
        <f ca="1" t="shared" si="102"/>
        <v/>
      </c>
      <c r="DG155" t="str">
        <f ca="1">IF(B155="","",step01标题尺码信息!$T$30)</f>
        <v/>
      </c>
      <c r="DH155" t="str">
        <f ca="1" t="shared" si="103"/>
        <v/>
      </c>
      <c r="DN155" t="str">
        <f ca="1" t="shared" si="104"/>
        <v/>
      </c>
      <c r="DW155" t="str">
        <f ca="1" t="shared" si="105"/>
        <v/>
      </c>
      <c r="ER155" t="str">
        <f ca="1">IF(B155="","",step01标题尺码信息!$T$37)</f>
        <v/>
      </c>
      <c r="ES155" t="str">
        <f ca="1" t="shared" si="106"/>
        <v/>
      </c>
      <c r="HF155" t="str">
        <f ca="1">IF(B155="","",step01标题尺码信息!$S$2)</f>
        <v/>
      </c>
      <c r="HH155" t="str">
        <f ca="1" t="shared" si="107"/>
        <v/>
      </c>
      <c r="HI155" t="str">
        <f ca="1" t="shared" si="108"/>
        <v/>
      </c>
      <c r="HL155" t="str">
        <f ca="1" t="shared" si="109"/>
        <v/>
      </c>
      <c r="IA155" t="str">
        <f ca="1" t="shared" si="110"/>
        <v/>
      </c>
    </row>
    <row r="156" spans="1:235">
      <c r="A156" t="str">
        <f ca="1">IF(B156="","",step01标题尺码信息!$B$3)</f>
        <v/>
      </c>
      <c r="B156" t="str">
        <f ca="1">IF(step01标题尺码信息!G158="","",step01标题尺码信息!G158)</f>
        <v/>
      </c>
      <c r="C156" t="str">
        <f ca="1">IF(B156="","",step01标题尺码信息!$E$3)</f>
        <v/>
      </c>
      <c r="D156" t="str">
        <f ca="1" t="shared" si="92"/>
        <v/>
      </c>
      <c r="E156" t="str">
        <f ca="1">IF(B156="","",VLOOKUP(B156,step01标题尺码信息!G:P,4,0))</f>
        <v/>
      </c>
      <c r="H156" t="str">
        <f ca="1">IF(B156="","",step01标题尺码信息!$R$19)</f>
        <v/>
      </c>
      <c r="I156" t="str">
        <f ca="1" t="shared" si="93"/>
        <v/>
      </c>
      <c r="M156" t="str">
        <f ca="1" t="shared" si="94"/>
        <v/>
      </c>
      <c r="U156" t="str">
        <f ca="1">IF(B156="","",step01标题尺码信息!$S$1)</f>
        <v/>
      </c>
      <c r="V156" t="str">
        <f ca="1" t="shared" si="95"/>
        <v/>
      </c>
      <c r="W156" t="str">
        <f ca="1">IF(B156="","",step01标题尺码信息!$V$1)</f>
        <v/>
      </c>
      <c r="X156" t="str">
        <f ca="1">IF(B156="","",step01标题尺码信息!$V$2)</f>
        <v/>
      </c>
      <c r="Y156" t="str">
        <f ca="1" t="shared" si="96"/>
        <v/>
      </c>
      <c r="Z156" t="str">
        <f ca="1" t="shared" si="97"/>
        <v/>
      </c>
      <c r="AA156" t="str">
        <f ca="1">IF(B156="","",IF(CB156="Parent","",VLOOKUP(B156,step01标题尺码信息!G:P,9,0)))</f>
        <v/>
      </c>
      <c r="AG156" t="str">
        <f ca="1" t="shared" si="111"/>
        <v/>
      </c>
      <c r="AH156" t="str">
        <f ca="1" t="shared" si="112"/>
        <v/>
      </c>
      <c r="AI156" t="str">
        <f ca="1">IF(OR(B156="",VLOOKUP(BH156,step02图片链接!B:E,4,0)=""),"",VLOOKUP(BH156,step02图片链接!B:E,4,0))</f>
        <v/>
      </c>
      <c r="AJ156" t="str">
        <f ca="1">IF(OR(B156="",VLOOKUP(BH156,step02图片链接!B:G,6,0)=""),"",VLOOKUP(BH156,step02图片链接!B:G,6,0))</f>
        <v/>
      </c>
      <c r="AK156" t="str">
        <f ca="1">IF(OR(B156="",VLOOKUP(BH156,step02图片链接!B:H,7,0)=""),"",VLOOKUP(BH156,step02图片链接!B:H,7,0))</f>
        <v/>
      </c>
      <c r="AL156" t="str">
        <f ca="1">IF(OR(B156="",VLOOKUP(BH156,step02图片链接!B:I,8,0)=""),"",VLOOKUP(BH156,step02图片链接!B:I,8,0))</f>
        <v/>
      </c>
      <c r="AM156" t="str">
        <f ca="1">IF(OR(B156="",VLOOKUP(BH156,step02图片链接!B:J,9,0)=""),"",VLOOKUP(BH156,step02图片链接!B:J,9,0))</f>
        <v/>
      </c>
      <c r="AN156" t="str">
        <f ca="1">IF(OR(B156="",VLOOKUP(BH156,step02图片链接!B:K,10,0)=""),"",VLOOKUP(BH156,step02图片链接!B:K,10,0))</f>
        <v/>
      </c>
      <c r="AO156" t="str">
        <f ca="1">IF(OR(B156="",VLOOKUP(BH156,step02图片链接!B:L,11,0)=""),"",VLOOKUP(BH156,step02图片链接!B:L,11,0))</f>
        <v/>
      </c>
      <c r="AP156" t="str">
        <f ca="1">IF(OR(B156="",VLOOKUP(BH156,step02图片链接!B:M,12,0)=""),"",VLOOKUP(BH156,step02图片链接!B:M,12,0))</f>
        <v/>
      </c>
      <c r="AQ156" t="str">
        <f ca="1">IF(OR(B156="",VLOOKUP(BH156,step02图片链接!B:N,13,0)=""),"",VLOOKUP(BH156,step02图片链接!B:N,13,0))</f>
        <v/>
      </c>
      <c r="AS156" t="str">
        <f ca="1" t="shared" si="113"/>
        <v/>
      </c>
      <c r="AT156" t="str">
        <f ca="1" t="shared" si="114"/>
        <v/>
      </c>
      <c r="AU156" t="str">
        <f ca="1" t="shared" si="98"/>
        <v/>
      </c>
      <c r="AV156" t="str">
        <f ca="1">IF(B156="","",step01标题尺码信息!$T$36)</f>
        <v/>
      </c>
      <c r="AZ156" t="str">
        <f ca="1">IF(B156="","",step01标题尺码信息!$S$41)</f>
        <v/>
      </c>
      <c r="BA156" t="str">
        <f ca="1">IF(B156="","",step01标题尺码信息!$S$43)</f>
        <v/>
      </c>
      <c r="BB156" t="str">
        <f ca="1">IF(B156="","",step01标题尺码信息!$S$45)</f>
        <v/>
      </c>
      <c r="BC156" t="str">
        <f ca="1">IF(B156="","",step01标题尺码信息!$S$47)</f>
        <v/>
      </c>
      <c r="BD156" t="str">
        <f ca="1">IF(B156="","",step01标题尺码信息!$S$49)</f>
        <v/>
      </c>
      <c r="BE156" t="str">
        <f ca="1">IF(B156="","",step01标题尺码信息!$S$53)</f>
        <v/>
      </c>
      <c r="BH156" t="str">
        <f ca="1">IF(B156="","",IF(DX156="Parent","",VLOOKUP(B156,step01标题尺码信息!G:P,7,0)))</f>
        <v/>
      </c>
      <c r="BI156" t="str">
        <f ca="1">IF(B156="","",IF(DX156="Parent","",VLOOKUP(B156,step01标题尺码信息!G:P,8,0)))</f>
        <v/>
      </c>
      <c r="BK156" t="str">
        <f ca="1" t="shared" si="99"/>
        <v/>
      </c>
      <c r="BL156" t="str">
        <f ca="1" t="shared" si="100"/>
        <v/>
      </c>
      <c r="BO156" t="str">
        <f ca="1" t="shared" si="101"/>
        <v/>
      </c>
      <c r="BR156" t="str">
        <f ca="1">IF(B156="","",IF(AS156="Parent","",VLOOKUP(B156,step01标题尺码信息!G:P,9,0)))</f>
        <v/>
      </c>
      <c r="CY156" t="str">
        <f ca="1" t="shared" si="102"/>
        <v/>
      </c>
      <c r="DG156" t="str">
        <f ca="1">IF(B156="","",step01标题尺码信息!$T$30)</f>
        <v/>
      </c>
      <c r="DH156" t="str">
        <f ca="1" t="shared" si="103"/>
        <v/>
      </c>
      <c r="DN156" t="str">
        <f ca="1" t="shared" si="104"/>
        <v/>
      </c>
      <c r="DW156" t="str">
        <f ca="1" t="shared" si="105"/>
        <v/>
      </c>
      <c r="ER156" t="str">
        <f ca="1">IF(B156="","",step01标题尺码信息!$T$37)</f>
        <v/>
      </c>
      <c r="ES156" t="str">
        <f ca="1" t="shared" si="106"/>
        <v/>
      </c>
      <c r="HF156" t="str">
        <f ca="1">IF(B156="","",step01标题尺码信息!$S$2)</f>
        <v/>
      </c>
      <c r="HH156" t="str">
        <f ca="1" t="shared" si="107"/>
        <v/>
      </c>
      <c r="HI156" t="str">
        <f ca="1" t="shared" si="108"/>
        <v/>
      </c>
      <c r="HL156" t="str">
        <f ca="1" t="shared" si="109"/>
        <v/>
      </c>
      <c r="IA156" t="str">
        <f ca="1" t="shared" si="110"/>
        <v/>
      </c>
    </row>
    <row r="157" spans="1:235">
      <c r="A157" t="str">
        <f>IF(B157="","",step01标题尺码信息!$B$3)</f>
        <v/>
      </c>
      <c r="B157" t="str">
        <f>IF(step01标题尺码信息!G159="","",step01标题尺码信息!G159)</f>
        <v/>
      </c>
      <c r="C157" t="str">
        <f>IF(B157="","",step01标题尺码信息!$E$3)</f>
        <v/>
      </c>
      <c r="D157" t="str">
        <f t="shared" si="92"/>
        <v/>
      </c>
      <c r="E157" t="str">
        <f ca="1">IF(B157="","",VLOOKUP(B157,step01标题尺码信息!G:P,4,0))</f>
        <v/>
      </c>
      <c r="H157" t="str">
        <f>IF(B157="","",step01标题尺码信息!$R$19)</f>
        <v/>
      </c>
      <c r="I157" t="str">
        <f t="shared" si="93"/>
        <v/>
      </c>
      <c r="M157" t="str">
        <f t="shared" si="94"/>
        <v/>
      </c>
      <c r="U157" t="str">
        <f>IF(B157="","",step01标题尺码信息!$S$1)</f>
        <v/>
      </c>
      <c r="V157" t="str">
        <f t="shared" si="95"/>
        <v/>
      </c>
      <c r="W157" t="str">
        <f>IF(B157="","",step01标题尺码信息!$V$1)</f>
        <v/>
      </c>
      <c r="X157" t="str">
        <f>IF(B157="","",step01标题尺码信息!$V$2)</f>
        <v/>
      </c>
      <c r="Y157" t="str">
        <f t="shared" si="96"/>
        <v/>
      </c>
      <c r="Z157" t="str">
        <f t="shared" si="97"/>
        <v/>
      </c>
      <c r="AA157" t="str">
        <f ca="1">IF(B157="","",IF(CB157="Parent","",VLOOKUP(B157,step01标题尺码信息!G:P,9,0)))</f>
        <v/>
      </c>
      <c r="AG157" t="str">
        <f t="shared" si="111"/>
        <v/>
      </c>
      <c r="AH157" t="str">
        <f t="shared" si="112"/>
        <v/>
      </c>
      <c r="AI157" t="str">
        <f ca="1">IF(OR(B157="",VLOOKUP(BH157,step02图片链接!B:E,4,0)=""),"",VLOOKUP(BH157,step02图片链接!B:E,4,0))</f>
        <v/>
      </c>
      <c r="AJ157" t="str">
        <f ca="1">IF(OR(B157="",VLOOKUP(BH157,step02图片链接!B:G,6,0)=""),"",VLOOKUP(BH157,step02图片链接!B:G,6,0))</f>
        <v/>
      </c>
      <c r="AK157" t="str">
        <f ca="1">IF(OR(B157="",VLOOKUP(BH157,step02图片链接!B:H,7,0)=""),"",VLOOKUP(BH157,step02图片链接!B:H,7,0))</f>
        <v/>
      </c>
      <c r="AL157" t="str">
        <f ca="1">IF(OR(B157="",VLOOKUP(BH157,step02图片链接!B:I,8,0)=""),"",VLOOKUP(BH157,step02图片链接!B:I,8,0))</f>
        <v/>
      </c>
      <c r="AM157" t="str">
        <f ca="1">IF(OR(B157="",VLOOKUP(BH157,step02图片链接!B:J,9,0)=""),"",VLOOKUP(BH157,step02图片链接!B:J,9,0))</f>
        <v/>
      </c>
      <c r="AN157" t="str">
        <f ca="1">IF(OR(B157="",VLOOKUP(BH157,step02图片链接!B:K,10,0)=""),"",VLOOKUP(BH157,step02图片链接!B:K,10,0))</f>
        <v/>
      </c>
      <c r="AO157" t="str">
        <f ca="1">IF(OR(B157="",VLOOKUP(BH157,step02图片链接!B:L,11,0)=""),"",VLOOKUP(BH157,step02图片链接!B:L,11,0))</f>
        <v/>
      </c>
      <c r="AP157" t="str">
        <f ca="1">IF(OR(B157="",VLOOKUP(BH157,step02图片链接!B:M,12,0)=""),"",VLOOKUP(BH157,step02图片链接!B:M,12,0))</f>
        <v/>
      </c>
      <c r="AQ157" t="str">
        <f ca="1">IF(OR(B157="",VLOOKUP(BH157,step02图片链接!B:N,13,0)=""),"",VLOOKUP(BH157,step02图片链接!B:N,13,0))</f>
        <v/>
      </c>
      <c r="AS157" t="str">
        <f t="shared" si="113"/>
        <v/>
      </c>
      <c r="AT157" t="str">
        <f t="shared" si="114"/>
        <v/>
      </c>
      <c r="AU157" t="str">
        <f t="shared" si="98"/>
        <v/>
      </c>
      <c r="AV157" t="str">
        <f>IF(B157="","",step01标题尺码信息!$T$36)</f>
        <v/>
      </c>
      <c r="AZ157" t="str">
        <f>IF(B157="","",step01标题尺码信息!$S$41)</f>
        <v/>
      </c>
      <c r="BA157" t="str">
        <f>IF(B157="","",step01标题尺码信息!$S$43)</f>
        <v/>
      </c>
      <c r="BB157" t="str">
        <f>IF(B157="","",step01标题尺码信息!$S$45)</f>
        <v/>
      </c>
      <c r="BC157" t="str">
        <f>IF(B157="","",step01标题尺码信息!$S$47)</f>
        <v/>
      </c>
      <c r="BD157" t="str">
        <f>IF(B157="","",step01标题尺码信息!$S$49)</f>
        <v/>
      </c>
      <c r="BE157" t="str">
        <f>IF(B157="","",step01标题尺码信息!$S$53)</f>
        <v/>
      </c>
      <c r="BH157" t="str">
        <f ca="1">IF(B157="","",IF(DX157="Parent","",VLOOKUP(B157,step01标题尺码信息!G:P,7,0)))</f>
        <v/>
      </c>
      <c r="BI157" t="str">
        <f ca="1">IF(B157="","",IF(DX157="Parent","",VLOOKUP(B157,step01标题尺码信息!G:P,8,0)))</f>
        <v/>
      </c>
      <c r="BK157" t="str">
        <f t="shared" si="99"/>
        <v/>
      </c>
      <c r="BL157" t="str">
        <f t="shared" si="100"/>
        <v/>
      </c>
      <c r="BO157" t="str">
        <f t="shared" si="101"/>
        <v/>
      </c>
      <c r="BR157" t="str">
        <f ca="1">IF(B157="","",IF(AS157="Parent","",VLOOKUP(B157,step01标题尺码信息!G:P,9,0)))</f>
        <v/>
      </c>
      <c r="CY157" t="str">
        <f t="shared" si="102"/>
        <v/>
      </c>
      <c r="DG157" t="str">
        <f>IF(B157="","",step01标题尺码信息!$T$30)</f>
        <v/>
      </c>
      <c r="DH157" t="str">
        <f t="shared" si="103"/>
        <v/>
      </c>
      <c r="DN157" t="str">
        <f ca="1" t="shared" si="104"/>
        <v/>
      </c>
      <c r="DW157" t="str">
        <f t="shared" si="105"/>
        <v/>
      </c>
      <c r="ER157" t="str">
        <f>IF(B157="","",step01标题尺码信息!$T$37)</f>
        <v/>
      </c>
      <c r="ES157" t="str">
        <f t="shared" si="106"/>
        <v/>
      </c>
      <c r="HF157" t="str">
        <f>IF(B157="","",step01标题尺码信息!$S$2)</f>
        <v/>
      </c>
      <c r="HH157" t="str">
        <f t="shared" si="107"/>
        <v/>
      </c>
      <c r="HI157" t="str">
        <f t="shared" si="108"/>
        <v/>
      </c>
      <c r="HL157" t="str">
        <f t="shared" si="109"/>
        <v/>
      </c>
      <c r="IA157" t="str">
        <f t="shared" si="110"/>
        <v/>
      </c>
    </row>
    <row r="158" spans="1:235">
      <c r="A158" t="str">
        <f>IF(B158="","",step01标题尺码信息!$B$3)</f>
        <v/>
      </c>
      <c r="B158" t="str">
        <f>IF(step01标题尺码信息!G160="","",step01标题尺码信息!G160)</f>
        <v/>
      </c>
      <c r="C158" t="str">
        <f>IF(B158="","",step01标题尺码信息!$E$3)</f>
        <v/>
      </c>
      <c r="D158" t="str">
        <f t="shared" si="92"/>
        <v/>
      </c>
      <c r="E158" t="str">
        <f ca="1">IF(B158="","",VLOOKUP(B158,step01标题尺码信息!G:P,4,0))</f>
        <v/>
      </c>
      <c r="H158" t="str">
        <f>IF(B158="","",step01标题尺码信息!$R$19)</f>
        <v/>
      </c>
      <c r="I158" t="str">
        <f t="shared" si="93"/>
        <v/>
      </c>
      <c r="M158" t="str">
        <f t="shared" si="94"/>
        <v/>
      </c>
      <c r="U158" t="str">
        <f>IF(B158="","",step01标题尺码信息!$S$1)</f>
        <v/>
      </c>
      <c r="V158" t="str">
        <f t="shared" si="95"/>
        <v/>
      </c>
      <c r="W158" t="str">
        <f>IF(B158="","",step01标题尺码信息!$V$1)</f>
        <v/>
      </c>
      <c r="X158" t="str">
        <f>IF(B158="","",step01标题尺码信息!$V$2)</f>
        <v/>
      </c>
      <c r="Y158" t="str">
        <f t="shared" si="96"/>
        <v/>
      </c>
      <c r="Z158" t="str">
        <f t="shared" si="97"/>
        <v/>
      </c>
      <c r="AA158" t="str">
        <f ca="1">IF(B158="","",IF(CB158="Parent","",VLOOKUP(B158,step01标题尺码信息!G:P,9,0)))</f>
        <v/>
      </c>
      <c r="AG158" t="str">
        <f t="shared" si="111"/>
        <v/>
      </c>
      <c r="AH158" t="str">
        <f t="shared" si="112"/>
        <v/>
      </c>
      <c r="AI158" t="str">
        <f ca="1">IF(OR(B158="",VLOOKUP(BH158,step02图片链接!B:E,4,0)=""),"",VLOOKUP(BH158,step02图片链接!B:E,4,0))</f>
        <v/>
      </c>
      <c r="AJ158" t="str">
        <f ca="1">IF(OR(B158="",VLOOKUP(BH158,step02图片链接!B:G,6,0)=""),"",VLOOKUP(BH158,step02图片链接!B:G,6,0))</f>
        <v/>
      </c>
      <c r="AK158" t="str">
        <f ca="1">IF(OR(B158="",VLOOKUP(BH158,step02图片链接!B:H,7,0)=""),"",VLOOKUP(BH158,step02图片链接!B:H,7,0))</f>
        <v/>
      </c>
      <c r="AL158" t="str">
        <f ca="1">IF(OR(B158="",VLOOKUP(BH158,step02图片链接!B:I,8,0)=""),"",VLOOKUP(BH158,step02图片链接!B:I,8,0))</f>
        <v/>
      </c>
      <c r="AM158" t="str">
        <f ca="1">IF(OR(B158="",VLOOKUP(BH158,step02图片链接!B:J,9,0)=""),"",VLOOKUP(BH158,step02图片链接!B:J,9,0))</f>
        <v/>
      </c>
      <c r="AN158" t="str">
        <f ca="1">IF(OR(B158="",VLOOKUP(BH158,step02图片链接!B:K,10,0)=""),"",VLOOKUP(BH158,step02图片链接!B:K,10,0))</f>
        <v/>
      </c>
      <c r="AO158" t="str">
        <f ca="1">IF(OR(B158="",VLOOKUP(BH158,step02图片链接!B:L,11,0)=""),"",VLOOKUP(BH158,step02图片链接!B:L,11,0))</f>
        <v/>
      </c>
      <c r="AP158" t="str">
        <f ca="1">IF(OR(B158="",VLOOKUP(BH158,step02图片链接!B:M,12,0)=""),"",VLOOKUP(BH158,step02图片链接!B:M,12,0))</f>
        <v/>
      </c>
      <c r="AQ158" t="str">
        <f ca="1">IF(OR(B158="",VLOOKUP(BH158,step02图片链接!B:N,13,0)=""),"",VLOOKUP(BH158,step02图片链接!B:N,13,0))</f>
        <v/>
      </c>
      <c r="AS158" t="str">
        <f t="shared" si="113"/>
        <v/>
      </c>
      <c r="AT158" t="str">
        <f t="shared" si="114"/>
        <v/>
      </c>
      <c r="AU158" t="str">
        <f t="shared" si="98"/>
        <v/>
      </c>
      <c r="AV158" t="str">
        <f>IF(B158="","",step01标题尺码信息!$T$36)</f>
        <v/>
      </c>
      <c r="AZ158" t="str">
        <f>IF(B158="","",step01标题尺码信息!$S$41)</f>
        <v/>
      </c>
      <c r="BA158" t="str">
        <f>IF(B158="","",step01标题尺码信息!$S$43)</f>
        <v/>
      </c>
      <c r="BB158" t="str">
        <f>IF(B158="","",step01标题尺码信息!$S$45)</f>
        <v/>
      </c>
      <c r="BC158" t="str">
        <f>IF(B158="","",step01标题尺码信息!$S$47)</f>
        <v/>
      </c>
      <c r="BD158" t="str">
        <f>IF(B158="","",step01标题尺码信息!$S$49)</f>
        <v/>
      </c>
      <c r="BE158" t="str">
        <f>IF(B158="","",step01标题尺码信息!$S$53)</f>
        <v/>
      </c>
      <c r="BH158" t="str">
        <f ca="1">IF(B158="","",IF(DX158="Parent","",VLOOKUP(B158,step01标题尺码信息!G:P,7,0)))</f>
        <v/>
      </c>
      <c r="BI158" t="str">
        <f ca="1">IF(B158="","",IF(DX158="Parent","",VLOOKUP(B158,step01标题尺码信息!G:P,8,0)))</f>
        <v/>
      </c>
      <c r="BK158" t="str">
        <f t="shared" si="99"/>
        <v/>
      </c>
      <c r="BL158" t="str">
        <f t="shared" si="100"/>
        <v/>
      </c>
      <c r="BO158" t="str">
        <f t="shared" si="101"/>
        <v/>
      </c>
      <c r="BR158" t="str">
        <f ca="1">IF(B158="","",IF(AS158="Parent","",VLOOKUP(B158,step01标题尺码信息!G:P,9,0)))</f>
        <v/>
      </c>
      <c r="CY158" t="str">
        <f t="shared" si="102"/>
        <v/>
      </c>
      <c r="DG158" t="str">
        <f>IF(B158="","",step01标题尺码信息!$T$30)</f>
        <v/>
      </c>
      <c r="DH158" t="str">
        <f t="shared" si="103"/>
        <v/>
      </c>
      <c r="DN158" t="str">
        <f ca="1" t="shared" si="104"/>
        <v/>
      </c>
      <c r="DW158" t="str">
        <f t="shared" si="105"/>
        <v/>
      </c>
      <c r="ER158" t="str">
        <f>IF(B158="","",step01标题尺码信息!$T$37)</f>
        <v/>
      </c>
      <c r="ES158" t="str">
        <f t="shared" si="106"/>
        <v/>
      </c>
      <c r="HF158" t="str">
        <f>IF(B158="","",step01标题尺码信息!$S$2)</f>
        <v/>
      </c>
      <c r="HH158" t="str">
        <f t="shared" si="107"/>
        <v/>
      </c>
      <c r="HI158" t="str">
        <f t="shared" si="108"/>
        <v/>
      </c>
      <c r="HL158" t="str">
        <f t="shared" si="109"/>
        <v/>
      </c>
      <c r="IA158" t="str">
        <f t="shared" si="110"/>
        <v/>
      </c>
    </row>
    <row r="159" spans="1:235">
      <c r="A159" t="str">
        <f>IF(B159="","",step01标题尺码信息!$B$3)</f>
        <v/>
      </c>
      <c r="B159" t="str">
        <f>IF(step01标题尺码信息!G161="","",step01标题尺码信息!G161)</f>
        <v/>
      </c>
      <c r="C159" t="str">
        <f>IF(B159="","",step01标题尺码信息!$E$3)</f>
        <v/>
      </c>
      <c r="D159" t="str">
        <f t="shared" si="92"/>
        <v/>
      </c>
      <c r="E159" t="str">
        <f ca="1">IF(B159="","",VLOOKUP(B159,step01标题尺码信息!G:P,4,0))</f>
        <v/>
      </c>
      <c r="H159" t="str">
        <f>IF(B159="","",step01标题尺码信息!$R$19)</f>
        <v/>
      </c>
      <c r="I159" t="str">
        <f t="shared" si="93"/>
        <v/>
      </c>
      <c r="M159" t="str">
        <f t="shared" si="94"/>
        <v/>
      </c>
      <c r="U159" t="str">
        <f>IF(B159="","",step01标题尺码信息!$S$1)</f>
        <v/>
      </c>
      <c r="V159" t="str">
        <f t="shared" si="95"/>
        <v/>
      </c>
      <c r="W159" t="str">
        <f>IF(B159="","",step01标题尺码信息!$V$1)</f>
        <v/>
      </c>
      <c r="X159" t="str">
        <f>IF(B159="","",step01标题尺码信息!$V$2)</f>
        <v/>
      </c>
      <c r="Y159" t="str">
        <f t="shared" si="96"/>
        <v/>
      </c>
      <c r="Z159" t="str">
        <f t="shared" si="97"/>
        <v/>
      </c>
      <c r="AA159" t="str">
        <f ca="1">IF(B159="","",IF(CB159="Parent","",VLOOKUP(B159,step01标题尺码信息!G:P,9,0)))</f>
        <v/>
      </c>
      <c r="AG159" t="str">
        <f t="shared" si="111"/>
        <v/>
      </c>
      <c r="AH159" t="str">
        <f t="shared" si="112"/>
        <v/>
      </c>
      <c r="AI159" t="str">
        <f ca="1">IF(OR(B159="",VLOOKUP(BH159,step02图片链接!B:E,4,0)=""),"",VLOOKUP(BH159,step02图片链接!B:E,4,0))</f>
        <v/>
      </c>
      <c r="AJ159" t="str">
        <f ca="1">IF(OR(B159="",VLOOKUP(BH159,step02图片链接!B:G,6,0)=""),"",VLOOKUP(BH159,step02图片链接!B:G,6,0))</f>
        <v/>
      </c>
      <c r="AK159" t="str">
        <f ca="1">IF(OR(B159="",VLOOKUP(BH159,step02图片链接!B:H,7,0)=""),"",VLOOKUP(BH159,step02图片链接!B:H,7,0))</f>
        <v/>
      </c>
      <c r="AL159" t="str">
        <f ca="1">IF(OR(B159="",VLOOKUP(BH159,step02图片链接!B:I,8,0)=""),"",VLOOKUP(BH159,step02图片链接!B:I,8,0))</f>
        <v/>
      </c>
      <c r="AM159" t="str">
        <f ca="1">IF(OR(B159="",VLOOKUP(BH159,step02图片链接!B:J,9,0)=""),"",VLOOKUP(BH159,step02图片链接!B:J,9,0))</f>
        <v/>
      </c>
      <c r="AN159" t="str">
        <f ca="1">IF(OR(B159="",VLOOKUP(BH159,step02图片链接!B:K,10,0)=""),"",VLOOKUP(BH159,step02图片链接!B:K,10,0))</f>
        <v/>
      </c>
      <c r="AO159" t="str">
        <f ca="1">IF(OR(B159="",VLOOKUP(BH159,step02图片链接!B:L,11,0)=""),"",VLOOKUP(BH159,step02图片链接!B:L,11,0))</f>
        <v/>
      </c>
      <c r="AP159" t="str">
        <f ca="1">IF(OR(B159="",VLOOKUP(BH159,step02图片链接!B:M,12,0)=""),"",VLOOKUP(BH159,step02图片链接!B:M,12,0))</f>
        <v/>
      </c>
      <c r="AQ159" t="str">
        <f ca="1">IF(OR(B159="",VLOOKUP(BH159,step02图片链接!B:N,13,0)=""),"",VLOOKUP(BH159,step02图片链接!B:N,13,0))</f>
        <v/>
      </c>
      <c r="AS159" t="str">
        <f t="shared" si="113"/>
        <v/>
      </c>
      <c r="AT159" t="str">
        <f t="shared" si="114"/>
        <v/>
      </c>
      <c r="AU159" t="str">
        <f t="shared" si="98"/>
        <v/>
      </c>
      <c r="AV159" t="str">
        <f>IF(B159="","",step01标题尺码信息!$T$36)</f>
        <v/>
      </c>
      <c r="AZ159" t="str">
        <f>IF(B159="","",step01标题尺码信息!$S$41)</f>
        <v/>
      </c>
      <c r="BA159" t="str">
        <f>IF(B159="","",step01标题尺码信息!$S$43)</f>
        <v/>
      </c>
      <c r="BB159" t="str">
        <f>IF(B159="","",step01标题尺码信息!$S$45)</f>
        <v/>
      </c>
      <c r="BC159" t="str">
        <f>IF(B159="","",step01标题尺码信息!$S$47)</f>
        <v/>
      </c>
      <c r="BD159" t="str">
        <f>IF(B159="","",step01标题尺码信息!$S$49)</f>
        <v/>
      </c>
      <c r="BE159" t="str">
        <f>IF(B159="","",step01标题尺码信息!$S$53)</f>
        <v/>
      </c>
      <c r="BH159" t="str">
        <f ca="1">IF(B159="","",IF(DX159="Parent","",VLOOKUP(B159,step01标题尺码信息!G:P,7,0)))</f>
        <v/>
      </c>
      <c r="BI159" t="str">
        <f ca="1">IF(B159="","",IF(DX159="Parent","",VLOOKUP(B159,step01标题尺码信息!G:P,8,0)))</f>
        <v/>
      </c>
      <c r="BK159" t="str">
        <f t="shared" si="99"/>
        <v/>
      </c>
      <c r="BL159" t="str">
        <f t="shared" si="100"/>
        <v/>
      </c>
      <c r="BO159" t="str">
        <f t="shared" si="101"/>
        <v/>
      </c>
      <c r="BR159" t="str">
        <f ca="1">IF(B159="","",IF(AS159="Parent","",VLOOKUP(B159,step01标题尺码信息!G:P,9,0)))</f>
        <v/>
      </c>
      <c r="CY159" t="str">
        <f t="shared" si="102"/>
        <v/>
      </c>
      <c r="DG159" t="str">
        <f>IF(B159="","",step01标题尺码信息!$T$30)</f>
        <v/>
      </c>
      <c r="DH159" t="str">
        <f t="shared" si="103"/>
        <v/>
      </c>
      <c r="DN159" t="str">
        <f ca="1" t="shared" si="104"/>
        <v/>
      </c>
      <c r="DW159" t="str">
        <f t="shared" si="105"/>
        <v/>
      </c>
      <c r="ER159" t="str">
        <f>IF(B159="","",step01标题尺码信息!$T$37)</f>
        <v/>
      </c>
      <c r="ES159" t="str">
        <f t="shared" si="106"/>
        <v/>
      </c>
      <c r="HF159" t="str">
        <f>IF(B159="","",step01标题尺码信息!$S$2)</f>
        <v/>
      </c>
      <c r="HH159" t="str">
        <f t="shared" si="107"/>
        <v/>
      </c>
      <c r="HI159" t="str">
        <f t="shared" si="108"/>
        <v/>
      </c>
      <c r="HL159" t="str">
        <f t="shared" si="109"/>
        <v/>
      </c>
      <c r="IA159" t="str">
        <f t="shared" si="110"/>
        <v/>
      </c>
    </row>
    <row r="160" spans="1:235">
      <c r="A160" t="str">
        <f>IF(B160="","",step01标题尺码信息!$B$3)</f>
        <v/>
      </c>
      <c r="B160" t="str">
        <f>IF(step01标题尺码信息!G162="","",step01标题尺码信息!G162)</f>
        <v/>
      </c>
      <c r="C160" t="str">
        <f>IF(B160="","",step01标题尺码信息!$E$3)</f>
        <v/>
      </c>
      <c r="D160" t="str">
        <f t="shared" si="92"/>
        <v/>
      </c>
      <c r="E160" t="str">
        <f ca="1">IF(B160="","",VLOOKUP(B160,step01标题尺码信息!G:P,4,0))</f>
        <v/>
      </c>
      <c r="H160" t="str">
        <f>IF(B160="","",step01标题尺码信息!$R$19)</f>
        <v/>
      </c>
      <c r="I160" t="str">
        <f t="shared" si="93"/>
        <v/>
      </c>
      <c r="M160" t="str">
        <f t="shared" si="94"/>
        <v/>
      </c>
      <c r="U160" t="str">
        <f>IF(B160="","",step01标题尺码信息!$S$1)</f>
        <v/>
      </c>
      <c r="V160" t="str">
        <f t="shared" si="95"/>
        <v/>
      </c>
      <c r="W160" t="str">
        <f>IF(B160="","",step01标题尺码信息!$V$1)</f>
        <v/>
      </c>
      <c r="X160" t="str">
        <f>IF(B160="","",step01标题尺码信息!$V$2)</f>
        <v/>
      </c>
      <c r="Y160" t="str">
        <f t="shared" si="96"/>
        <v/>
      </c>
      <c r="Z160" t="str">
        <f t="shared" si="97"/>
        <v/>
      </c>
      <c r="AA160" t="str">
        <f ca="1">IF(B160="","",IF(CB160="Parent","",VLOOKUP(B160,step01标题尺码信息!G:P,9,0)))</f>
        <v/>
      </c>
      <c r="AG160" t="str">
        <f t="shared" si="111"/>
        <v/>
      </c>
      <c r="AH160" t="str">
        <f t="shared" si="112"/>
        <v/>
      </c>
      <c r="AI160" t="str">
        <f ca="1">IF(OR(B160="",VLOOKUP(BH160,step02图片链接!B:E,4,0)=""),"",VLOOKUP(BH160,step02图片链接!B:E,4,0))</f>
        <v/>
      </c>
      <c r="AJ160" t="str">
        <f ca="1">IF(OR(B160="",VLOOKUP(BH160,step02图片链接!B:G,6,0)=""),"",VLOOKUP(BH160,step02图片链接!B:G,6,0))</f>
        <v/>
      </c>
      <c r="AK160" t="str">
        <f ca="1">IF(OR(B160="",VLOOKUP(BH160,step02图片链接!B:H,7,0)=""),"",VLOOKUP(BH160,step02图片链接!B:H,7,0))</f>
        <v/>
      </c>
      <c r="AL160" t="str">
        <f ca="1">IF(OR(B160="",VLOOKUP(BH160,step02图片链接!B:I,8,0)=""),"",VLOOKUP(BH160,step02图片链接!B:I,8,0))</f>
        <v/>
      </c>
      <c r="AM160" t="str">
        <f ca="1">IF(OR(B160="",VLOOKUP(BH160,step02图片链接!B:J,9,0)=""),"",VLOOKUP(BH160,step02图片链接!B:J,9,0))</f>
        <v/>
      </c>
      <c r="AN160" t="str">
        <f ca="1">IF(OR(B160="",VLOOKUP(BH160,step02图片链接!B:K,10,0)=""),"",VLOOKUP(BH160,step02图片链接!B:K,10,0))</f>
        <v/>
      </c>
      <c r="AO160" t="str">
        <f ca="1">IF(OR(B160="",VLOOKUP(BH160,step02图片链接!B:L,11,0)=""),"",VLOOKUP(BH160,step02图片链接!B:L,11,0))</f>
        <v/>
      </c>
      <c r="AP160" t="str">
        <f ca="1">IF(OR(B160="",VLOOKUP(BH160,step02图片链接!B:M,12,0)=""),"",VLOOKUP(BH160,step02图片链接!B:M,12,0))</f>
        <v/>
      </c>
      <c r="AQ160" t="str">
        <f ca="1">IF(OR(B160="",VLOOKUP(BH160,step02图片链接!B:N,13,0)=""),"",VLOOKUP(BH160,step02图片链接!B:N,13,0))</f>
        <v/>
      </c>
      <c r="AS160" t="str">
        <f t="shared" si="113"/>
        <v/>
      </c>
      <c r="AT160" t="str">
        <f t="shared" si="114"/>
        <v/>
      </c>
      <c r="AU160" t="str">
        <f t="shared" si="98"/>
        <v/>
      </c>
      <c r="AV160" t="str">
        <f>IF(B160="","",step01标题尺码信息!$T$36)</f>
        <v/>
      </c>
      <c r="AZ160" t="str">
        <f>IF(B160="","",step01标题尺码信息!$S$41)</f>
        <v/>
      </c>
      <c r="BA160" t="str">
        <f>IF(B160="","",step01标题尺码信息!$S$43)</f>
        <v/>
      </c>
      <c r="BB160" t="str">
        <f>IF(B160="","",step01标题尺码信息!$S$45)</f>
        <v/>
      </c>
      <c r="BC160" t="str">
        <f>IF(B160="","",step01标题尺码信息!$S$47)</f>
        <v/>
      </c>
      <c r="BD160" t="str">
        <f>IF(B160="","",step01标题尺码信息!$S$49)</f>
        <v/>
      </c>
      <c r="BE160" t="str">
        <f>IF(B160="","",step01标题尺码信息!$S$53)</f>
        <v/>
      </c>
      <c r="BH160" t="str">
        <f ca="1">IF(B160="","",IF(DX160="Parent","",VLOOKUP(B160,step01标题尺码信息!G:P,7,0)))</f>
        <v/>
      </c>
      <c r="BI160" t="str">
        <f ca="1">IF(B160="","",IF(DX160="Parent","",VLOOKUP(B160,step01标题尺码信息!G:P,8,0)))</f>
        <v/>
      </c>
      <c r="BK160" t="str">
        <f t="shared" si="99"/>
        <v/>
      </c>
      <c r="BL160" t="str">
        <f t="shared" si="100"/>
        <v/>
      </c>
      <c r="BO160" t="str">
        <f t="shared" si="101"/>
        <v/>
      </c>
      <c r="BR160" t="str">
        <f ca="1">IF(B160="","",IF(AS160="Parent","",VLOOKUP(B160,step01标题尺码信息!G:P,9,0)))</f>
        <v/>
      </c>
      <c r="CY160" t="str">
        <f t="shared" si="102"/>
        <v/>
      </c>
      <c r="DG160" t="str">
        <f>IF(B160="","",step01标题尺码信息!$T$30)</f>
        <v/>
      </c>
      <c r="DH160" t="str">
        <f t="shared" si="103"/>
        <v/>
      </c>
      <c r="DN160" t="str">
        <f ca="1" t="shared" si="104"/>
        <v/>
      </c>
      <c r="DW160" t="str">
        <f t="shared" si="105"/>
        <v/>
      </c>
      <c r="ER160" t="str">
        <f>IF(B160="","",step01标题尺码信息!$T$37)</f>
        <v/>
      </c>
      <c r="ES160" t="str">
        <f t="shared" si="106"/>
        <v/>
      </c>
      <c r="HF160" t="str">
        <f>IF(B160="","",step01标题尺码信息!$S$2)</f>
        <v/>
      </c>
      <c r="HH160" t="str">
        <f t="shared" si="107"/>
        <v/>
      </c>
      <c r="HI160" t="str">
        <f t="shared" si="108"/>
        <v/>
      </c>
      <c r="HL160" t="str">
        <f t="shared" si="109"/>
        <v/>
      </c>
      <c r="IA160" t="str">
        <f t="shared" si="110"/>
        <v/>
      </c>
    </row>
    <row r="161" spans="1:235">
      <c r="A161" t="str">
        <f>IF(B161="","",step01标题尺码信息!$B$3)</f>
        <v/>
      </c>
      <c r="B161" t="str">
        <f>IF(step01标题尺码信息!G163="","",step01标题尺码信息!G163)</f>
        <v/>
      </c>
      <c r="C161" t="str">
        <f>IF(B161="","",step01标题尺码信息!$E$3)</f>
        <v/>
      </c>
      <c r="D161" t="str">
        <f t="shared" si="92"/>
        <v/>
      </c>
      <c r="E161" t="str">
        <f ca="1">IF(B161="","",VLOOKUP(B161,step01标题尺码信息!G:P,4,0))</f>
        <v/>
      </c>
      <c r="H161" t="str">
        <f>IF(B161="","",step01标题尺码信息!$R$19)</f>
        <v/>
      </c>
      <c r="I161" t="str">
        <f t="shared" si="93"/>
        <v/>
      </c>
      <c r="M161" t="str">
        <f t="shared" si="94"/>
        <v/>
      </c>
      <c r="U161" t="str">
        <f>IF(B161="","",step01标题尺码信息!$S$1)</f>
        <v/>
      </c>
      <c r="V161" t="str">
        <f t="shared" si="95"/>
        <v/>
      </c>
      <c r="W161" t="str">
        <f>IF(B161="","",step01标题尺码信息!$V$1)</f>
        <v/>
      </c>
      <c r="X161" t="str">
        <f>IF(B161="","",step01标题尺码信息!$V$2)</f>
        <v/>
      </c>
      <c r="Y161" t="str">
        <f t="shared" si="96"/>
        <v/>
      </c>
      <c r="Z161" t="str">
        <f t="shared" si="97"/>
        <v/>
      </c>
      <c r="AA161" t="str">
        <f ca="1">IF(B161="","",IF(CB161="Parent","",VLOOKUP(B161,step01标题尺码信息!G:P,9,0)))</f>
        <v/>
      </c>
      <c r="AG161" t="str">
        <f t="shared" si="111"/>
        <v/>
      </c>
      <c r="AH161" t="str">
        <f t="shared" si="112"/>
        <v/>
      </c>
      <c r="AI161" t="str">
        <f ca="1">IF(OR(B161="",VLOOKUP(BH161,step02图片链接!B:E,4,0)=""),"",VLOOKUP(BH161,step02图片链接!B:E,4,0))</f>
        <v/>
      </c>
      <c r="AJ161" t="str">
        <f ca="1">IF(OR(B161="",VLOOKUP(BH161,step02图片链接!B:G,6,0)=""),"",VLOOKUP(BH161,step02图片链接!B:G,6,0))</f>
        <v/>
      </c>
      <c r="AK161" t="str">
        <f ca="1">IF(OR(B161="",VLOOKUP(BH161,step02图片链接!B:H,7,0)=""),"",VLOOKUP(BH161,step02图片链接!B:H,7,0))</f>
        <v/>
      </c>
      <c r="AL161" t="str">
        <f ca="1">IF(OR(B161="",VLOOKUP(BH161,step02图片链接!B:I,8,0)=""),"",VLOOKUP(BH161,step02图片链接!B:I,8,0))</f>
        <v/>
      </c>
      <c r="AM161" t="str">
        <f ca="1">IF(OR(B161="",VLOOKUP(BH161,step02图片链接!B:J,9,0)=""),"",VLOOKUP(BH161,step02图片链接!B:J,9,0))</f>
        <v/>
      </c>
      <c r="AN161" t="str">
        <f ca="1">IF(OR(B161="",VLOOKUP(BH161,step02图片链接!B:K,10,0)=""),"",VLOOKUP(BH161,step02图片链接!B:K,10,0))</f>
        <v/>
      </c>
      <c r="AO161" t="str">
        <f ca="1">IF(OR(B161="",VLOOKUP(BH161,step02图片链接!B:L,11,0)=""),"",VLOOKUP(BH161,step02图片链接!B:L,11,0))</f>
        <v/>
      </c>
      <c r="AP161" t="str">
        <f ca="1">IF(OR(B161="",VLOOKUP(BH161,step02图片链接!B:M,12,0)=""),"",VLOOKUP(BH161,step02图片链接!B:M,12,0))</f>
        <v/>
      </c>
      <c r="AQ161" t="str">
        <f ca="1">IF(OR(B161="",VLOOKUP(BH161,step02图片链接!B:N,13,0)=""),"",VLOOKUP(BH161,step02图片链接!B:N,13,0))</f>
        <v/>
      </c>
      <c r="AS161" t="str">
        <f t="shared" si="113"/>
        <v/>
      </c>
      <c r="AT161" t="str">
        <f t="shared" si="114"/>
        <v/>
      </c>
      <c r="AU161" t="str">
        <f t="shared" si="98"/>
        <v/>
      </c>
      <c r="AV161" t="str">
        <f>IF(B161="","",step01标题尺码信息!$T$36)</f>
        <v/>
      </c>
      <c r="AZ161" t="str">
        <f>IF(B161="","",step01标题尺码信息!$S$41)</f>
        <v/>
      </c>
      <c r="BA161" t="str">
        <f>IF(B161="","",step01标题尺码信息!$S$43)</f>
        <v/>
      </c>
      <c r="BB161" t="str">
        <f>IF(B161="","",step01标题尺码信息!$S$45)</f>
        <v/>
      </c>
      <c r="BC161" t="str">
        <f>IF(B161="","",step01标题尺码信息!$S$47)</f>
        <v/>
      </c>
      <c r="BD161" t="str">
        <f>IF(B161="","",step01标题尺码信息!$S$49)</f>
        <v/>
      </c>
      <c r="BE161" t="str">
        <f>IF(B161="","",step01标题尺码信息!$S$53)</f>
        <v/>
      </c>
      <c r="BH161" t="str">
        <f ca="1">IF(B161="","",IF(DX161="Parent","",VLOOKUP(B161,step01标题尺码信息!G:P,7,0)))</f>
        <v/>
      </c>
      <c r="BI161" t="str">
        <f ca="1">IF(B161="","",IF(DX161="Parent","",VLOOKUP(B161,step01标题尺码信息!G:P,8,0)))</f>
        <v/>
      </c>
      <c r="BK161" t="str">
        <f t="shared" si="99"/>
        <v/>
      </c>
      <c r="BL161" t="str">
        <f t="shared" si="100"/>
        <v/>
      </c>
      <c r="BO161" t="str">
        <f t="shared" si="101"/>
        <v/>
      </c>
      <c r="BR161" t="str">
        <f ca="1">IF(B161="","",IF(AS161="Parent","",VLOOKUP(B161,step01标题尺码信息!G:P,9,0)))</f>
        <v/>
      </c>
      <c r="CY161" t="str">
        <f t="shared" si="102"/>
        <v/>
      </c>
      <c r="DG161" t="str">
        <f>IF(B161="","",step01标题尺码信息!$T$30)</f>
        <v/>
      </c>
      <c r="DH161" t="str">
        <f t="shared" si="103"/>
        <v/>
      </c>
      <c r="DN161" t="str">
        <f ca="1" t="shared" si="104"/>
        <v/>
      </c>
      <c r="DW161" t="str">
        <f t="shared" si="105"/>
        <v/>
      </c>
      <c r="ER161" t="str">
        <f>IF(B161="","",step01标题尺码信息!$T$37)</f>
        <v/>
      </c>
      <c r="ES161" t="str">
        <f t="shared" si="106"/>
        <v/>
      </c>
      <c r="HF161" t="str">
        <f>IF(B161="","",step01标题尺码信息!$S$2)</f>
        <v/>
      </c>
      <c r="HH161" t="str">
        <f t="shared" si="107"/>
        <v/>
      </c>
      <c r="HI161" t="str">
        <f t="shared" si="108"/>
        <v/>
      </c>
      <c r="HL161" t="str">
        <f t="shared" si="109"/>
        <v/>
      </c>
      <c r="IA161" t="str">
        <f t="shared" si="110"/>
        <v/>
      </c>
    </row>
    <row r="162" spans="1:235">
      <c r="A162" t="str">
        <f>IF(B162="","",step01标题尺码信息!$B$3)</f>
        <v/>
      </c>
      <c r="B162" t="str">
        <f>IF(step01标题尺码信息!G164="","",step01标题尺码信息!G164)</f>
        <v/>
      </c>
      <c r="C162" t="str">
        <f>IF(B162="","",step01标题尺码信息!$E$3)</f>
        <v/>
      </c>
      <c r="D162" t="str">
        <f t="shared" si="92"/>
        <v/>
      </c>
      <c r="E162" t="str">
        <f ca="1">IF(B162="","",VLOOKUP(B162,step01标题尺码信息!G:P,4,0))</f>
        <v/>
      </c>
      <c r="H162" t="str">
        <f>IF(B162="","",step01标题尺码信息!$R$19)</f>
        <v/>
      </c>
      <c r="I162" t="str">
        <f t="shared" si="93"/>
        <v/>
      </c>
      <c r="M162" t="str">
        <f t="shared" si="94"/>
        <v/>
      </c>
      <c r="U162" t="str">
        <f>IF(B162="","",step01标题尺码信息!$S$1)</f>
        <v/>
      </c>
      <c r="V162" t="str">
        <f t="shared" si="95"/>
        <v/>
      </c>
      <c r="W162" t="str">
        <f>IF(B162="","",step01标题尺码信息!$V$1)</f>
        <v/>
      </c>
      <c r="X162" t="str">
        <f>IF(B162="","",step01标题尺码信息!$V$2)</f>
        <v/>
      </c>
      <c r="Y162" t="str">
        <f t="shared" si="96"/>
        <v/>
      </c>
      <c r="Z162" t="str">
        <f t="shared" si="97"/>
        <v/>
      </c>
      <c r="AA162" t="str">
        <f ca="1">IF(B162="","",IF(CB162="Parent","",VLOOKUP(B162,step01标题尺码信息!G:P,9,0)))</f>
        <v/>
      </c>
      <c r="AG162" t="str">
        <f t="shared" si="111"/>
        <v/>
      </c>
      <c r="AH162" t="str">
        <f t="shared" si="112"/>
        <v/>
      </c>
      <c r="AI162" t="str">
        <f ca="1">IF(OR(B162="",VLOOKUP(BH162,step02图片链接!B:E,4,0)=""),"",VLOOKUP(BH162,step02图片链接!B:E,4,0))</f>
        <v/>
      </c>
      <c r="AJ162" t="str">
        <f ca="1">IF(OR(B162="",VLOOKUP(BH162,step02图片链接!B:G,6,0)=""),"",VLOOKUP(BH162,step02图片链接!B:G,6,0))</f>
        <v/>
      </c>
      <c r="AK162" t="str">
        <f ca="1">IF(OR(B162="",VLOOKUP(BH162,step02图片链接!B:H,7,0)=""),"",VLOOKUP(BH162,step02图片链接!B:H,7,0))</f>
        <v/>
      </c>
      <c r="AL162" t="str">
        <f ca="1">IF(OR(B162="",VLOOKUP(BH162,step02图片链接!B:I,8,0)=""),"",VLOOKUP(BH162,step02图片链接!B:I,8,0))</f>
        <v/>
      </c>
      <c r="AM162" t="str">
        <f ca="1">IF(OR(B162="",VLOOKUP(BH162,step02图片链接!B:J,9,0)=""),"",VLOOKUP(BH162,step02图片链接!B:J,9,0))</f>
        <v/>
      </c>
      <c r="AN162" t="str">
        <f ca="1">IF(OR(B162="",VLOOKUP(BH162,step02图片链接!B:K,10,0)=""),"",VLOOKUP(BH162,step02图片链接!B:K,10,0))</f>
        <v/>
      </c>
      <c r="AO162" t="str">
        <f ca="1">IF(OR(B162="",VLOOKUP(BH162,step02图片链接!B:L,11,0)=""),"",VLOOKUP(BH162,step02图片链接!B:L,11,0))</f>
        <v/>
      </c>
      <c r="AP162" t="str">
        <f ca="1">IF(OR(B162="",VLOOKUP(BH162,step02图片链接!B:M,12,0)=""),"",VLOOKUP(BH162,step02图片链接!B:M,12,0))</f>
        <v/>
      </c>
      <c r="AQ162" t="str">
        <f ca="1">IF(OR(B162="",VLOOKUP(BH162,step02图片链接!B:N,13,0)=""),"",VLOOKUP(BH162,step02图片链接!B:N,13,0))</f>
        <v/>
      </c>
      <c r="AS162" t="str">
        <f t="shared" si="113"/>
        <v/>
      </c>
      <c r="AT162" t="str">
        <f t="shared" si="114"/>
        <v/>
      </c>
      <c r="AU162" t="str">
        <f t="shared" si="98"/>
        <v/>
      </c>
      <c r="AV162" t="str">
        <f>IF(B162="","",step01标题尺码信息!$T$36)</f>
        <v/>
      </c>
      <c r="AZ162" t="str">
        <f>IF(B162="","",step01标题尺码信息!$S$41)</f>
        <v/>
      </c>
      <c r="BA162" t="str">
        <f>IF(B162="","",step01标题尺码信息!$S$43)</f>
        <v/>
      </c>
      <c r="BB162" t="str">
        <f>IF(B162="","",step01标题尺码信息!$S$45)</f>
        <v/>
      </c>
      <c r="BC162" t="str">
        <f>IF(B162="","",step01标题尺码信息!$S$47)</f>
        <v/>
      </c>
      <c r="BD162" t="str">
        <f>IF(B162="","",step01标题尺码信息!$S$49)</f>
        <v/>
      </c>
      <c r="BE162" t="str">
        <f>IF(B162="","",step01标题尺码信息!$S$53)</f>
        <v/>
      </c>
      <c r="BH162" t="str">
        <f ca="1">IF(B162="","",IF(DX162="Parent","",VLOOKUP(B162,step01标题尺码信息!G:P,7,0)))</f>
        <v/>
      </c>
      <c r="BI162" t="str">
        <f ca="1">IF(B162="","",IF(DX162="Parent","",VLOOKUP(B162,step01标题尺码信息!G:P,8,0)))</f>
        <v/>
      </c>
      <c r="BK162" t="str">
        <f t="shared" si="99"/>
        <v/>
      </c>
      <c r="BL162" t="str">
        <f t="shared" si="100"/>
        <v/>
      </c>
      <c r="BO162" t="str">
        <f t="shared" si="101"/>
        <v/>
      </c>
      <c r="BR162" t="str">
        <f ca="1">IF(B162="","",IF(AS162="Parent","",VLOOKUP(B162,step01标题尺码信息!G:P,9,0)))</f>
        <v/>
      </c>
      <c r="CY162" t="str">
        <f t="shared" si="102"/>
        <v/>
      </c>
      <c r="DG162" t="str">
        <f>IF(B162="","",step01标题尺码信息!$T$30)</f>
        <v/>
      </c>
      <c r="DH162" t="str">
        <f t="shared" si="103"/>
        <v/>
      </c>
      <c r="DN162" t="str">
        <f ca="1" t="shared" si="104"/>
        <v/>
      </c>
      <c r="DW162" t="str">
        <f t="shared" si="105"/>
        <v/>
      </c>
      <c r="ER162" t="str">
        <f>IF(B162="","",step01标题尺码信息!$T$37)</f>
        <v/>
      </c>
      <c r="ES162" t="str">
        <f t="shared" si="106"/>
        <v/>
      </c>
      <c r="HF162" t="str">
        <f>IF(B162="","",step01标题尺码信息!$S$2)</f>
        <v/>
      </c>
      <c r="HH162" t="str">
        <f t="shared" si="107"/>
        <v/>
      </c>
      <c r="HI162" t="str">
        <f t="shared" si="108"/>
        <v/>
      </c>
      <c r="HL162" t="str">
        <f t="shared" si="109"/>
        <v/>
      </c>
      <c r="IA162" t="str">
        <f t="shared" si="110"/>
        <v/>
      </c>
    </row>
    <row r="163" spans="1:235">
      <c r="A163" t="str">
        <f>IF(B163="","",step01标题尺码信息!$B$3)</f>
        <v/>
      </c>
      <c r="B163" t="str">
        <f>IF(step01标题尺码信息!G165="","",step01标题尺码信息!G165)</f>
        <v/>
      </c>
      <c r="C163" t="str">
        <f>IF(B163="","",step01标题尺码信息!$E$3)</f>
        <v/>
      </c>
      <c r="D163" t="str">
        <f t="shared" si="92"/>
        <v/>
      </c>
      <c r="E163" t="str">
        <f ca="1">IF(B163="","",VLOOKUP(B163,step01标题尺码信息!G:P,4,0))</f>
        <v/>
      </c>
      <c r="H163" t="str">
        <f>IF(B163="","",step01标题尺码信息!$R$19)</f>
        <v/>
      </c>
      <c r="I163" t="str">
        <f t="shared" si="93"/>
        <v/>
      </c>
      <c r="M163" t="str">
        <f t="shared" si="94"/>
        <v/>
      </c>
      <c r="U163" t="str">
        <f>IF(B163="","",step01标题尺码信息!$S$1)</f>
        <v/>
      </c>
      <c r="V163" t="str">
        <f t="shared" si="95"/>
        <v/>
      </c>
      <c r="W163" t="str">
        <f>IF(B163="","",step01标题尺码信息!$V$1)</f>
        <v/>
      </c>
      <c r="X163" t="str">
        <f>IF(B163="","",step01标题尺码信息!$V$2)</f>
        <v/>
      </c>
      <c r="Y163" t="str">
        <f t="shared" si="96"/>
        <v/>
      </c>
      <c r="Z163" t="str">
        <f t="shared" si="97"/>
        <v/>
      </c>
      <c r="AA163" t="str">
        <f ca="1">IF(B163="","",IF(CB163="Parent","",VLOOKUP(B163,step01标题尺码信息!G:P,9,0)))</f>
        <v/>
      </c>
      <c r="AG163" t="str">
        <f t="shared" si="111"/>
        <v/>
      </c>
      <c r="AH163" t="str">
        <f t="shared" si="112"/>
        <v/>
      </c>
      <c r="AI163" t="str">
        <f ca="1">IF(OR(B163="",VLOOKUP(BH163,step02图片链接!B:E,4,0)=""),"",VLOOKUP(BH163,step02图片链接!B:E,4,0))</f>
        <v/>
      </c>
      <c r="AJ163" t="str">
        <f ca="1">IF(OR(B163="",VLOOKUP(BH163,step02图片链接!B:G,6,0)=""),"",VLOOKUP(BH163,step02图片链接!B:G,6,0))</f>
        <v/>
      </c>
      <c r="AK163" t="str">
        <f ca="1">IF(OR(B163="",VLOOKUP(BH163,step02图片链接!B:H,7,0)=""),"",VLOOKUP(BH163,step02图片链接!B:H,7,0))</f>
        <v/>
      </c>
      <c r="AL163" t="str">
        <f ca="1">IF(OR(B163="",VLOOKUP(BH163,step02图片链接!B:I,8,0)=""),"",VLOOKUP(BH163,step02图片链接!B:I,8,0))</f>
        <v/>
      </c>
      <c r="AM163" t="str">
        <f ca="1">IF(OR(B163="",VLOOKUP(BH163,step02图片链接!B:J,9,0)=""),"",VLOOKUP(BH163,step02图片链接!B:J,9,0))</f>
        <v/>
      </c>
      <c r="AN163" t="str">
        <f ca="1">IF(OR(B163="",VLOOKUP(BH163,step02图片链接!B:K,10,0)=""),"",VLOOKUP(BH163,step02图片链接!B:K,10,0))</f>
        <v/>
      </c>
      <c r="AO163" t="str">
        <f ca="1">IF(OR(B163="",VLOOKUP(BH163,step02图片链接!B:L,11,0)=""),"",VLOOKUP(BH163,step02图片链接!B:L,11,0))</f>
        <v/>
      </c>
      <c r="AP163" t="str">
        <f ca="1">IF(OR(B163="",VLOOKUP(BH163,step02图片链接!B:M,12,0)=""),"",VLOOKUP(BH163,step02图片链接!B:M,12,0))</f>
        <v/>
      </c>
      <c r="AQ163" t="str">
        <f ca="1">IF(OR(B163="",VLOOKUP(BH163,step02图片链接!B:N,13,0)=""),"",VLOOKUP(BH163,step02图片链接!B:N,13,0))</f>
        <v/>
      </c>
      <c r="AS163" t="str">
        <f t="shared" si="113"/>
        <v/>
      </c>
      <c r="AT163" t="str">
        <f t="shared" si="114"/>
        <v/>
      </c>
      <c r="AU163" t="str">
        <f t="shared" si="98"/>
        <v/>
      </c>
      <c r="AV163" t="str">
        <f>IF(B163="","",step01标题尺码信息!$T$36)</f>
        <v/>
      </c>
      <c r="AZ163" t="str">
        <f>IF(B163="","",step01标题尺码信息!$S$41)</f>
        <v/>
      </c>
      <c r="BA163" t="str">
        <f>IF(B163="","",step01标题尺码信息!$S$43)</f>
        <v/>
      </c>
      <c r="BB163" t="str">
        <f>IF(B163="","",step01标题尺码信息!$S$45)</f>
        <v/>
      </c>
      <c r="BC163" t="str">
        <f>IF(B163="","",step01标题尺码信息!$S$47)</f>
        <v/>
      </c>
      <c r="BD163" t="str">
        <f>IF(B163="","",step01标题尺码信息!$S$49)</f>
        <v/>
      </c>
      <c r="BE163" t="str">
        <f>IF(B163="","",step01标题尺码信息!$S$53)</f>
        <v/>
      </c>
      <c r="BH163" t="str">
        <f ca="1">IF(B163="","",IF(DX163="Parent","",VLOOKUP(B163,step01标题尺码信息!G:P,7,0)))</f>
        <v/>
      </c>
      <c r="BI163" t="str">
        <f ca="1">IF(B163="","",IF(DX163="Parent","",VLOOKUP(B163,step01标题尺码信息!G:P,8,0)))</f>
        <v/>
      </c>
      <c r="BK163" t="str">
        <f t="shared" si="99"/>
        <v/>
      </c>
      <c r="BL163" t="str">
        <f t="shared" si="100"/>
        <v/>
      </c>
      <c r="BO163" t="str">
        <f t="shared" si="101"/>
        <v/>
      </c>
      <c r="BR163" t="str">
        <f ca="1">IF(B163="","",IF(AS163="Parent","",VLOOKUP(B163,step01标题尺码信息!G:P,9,0)))</f>
        <v/>
      </c>
      <c r="CY163" t="str">
        <f t="shared" si="102"/>
        <v/>
      </c>
      <c r="DG163" t="str">
        <f>IF(B163="","",step01标题尺码信息!$T$30)</f>
        <v/>
      </c>
      <c r="DH163" t="str">
        <f t="shared" si="103"/>
        <v/>
      </c>
      <c r="DN163" t="str">
        <f ca="1" t="shared" si="104"/>
        <v/>
      </c>
      <c r="DW163" t="str">
        <f t="shared" si="105"/>
        <v/>
      </c>
      <c r="ER163" t="str">
        <f>IF(B163="","",step01标题尺码信息!$T$37)</f>
        <v/>
      </c>
      <c r="ES163" t="str">
        <f t="shared" si="106"/>
        <v/>
      </c>
      <c r="HF163" t="str">
        <f>IF(B163="","",step01标题尺码信息!$S$2)</f>
        <v/>
      </c>
      <c r="HH163" t="str">
        <f t="shared" si="107"/>
        <v/>
      </c>
      <c r="HI163" t="str">
        <f t="shared" si="108"/>
        <v/>
      </c>
      <c r="HL163" t="str">
        <f t="shared" si="109"/>
        <v/>
      </c>
      <c r="IA163" t="str">
        <f t="shared" si="110"/>
        <v/>
      </c>
    </row>
    <row r="164" spans="1:235">
      <c r="A164" t="str">
        <f>IF(B164="","",step01标题尺码信息!$B$3)</f>
        <v/>
      </c>
      <c r="B164" t="str">
        <f>IF(step01标题尺码信息!G166="","",step01标题尺码信息!G166)</f>
        <v/>
      </c>
      <c r="C164" t="str">
        <f>IF(B164="","",step01标题尺码信息!$E$3)</f>
        <v/>
      </c>
      <c r="D164" t="str">
        <f t="shared" si="92"/>
        <v/>
      </c>
      <c r="E164" t="str">
        <f ca="1">IF(B164="","",VLOOKUP(B164,step01标题尺码信息!G:P,4,0))</f>
        <v/>
      </c>
      <c r="H164" t="str">
        <f>IF(B164="","",step01标题尺码信息!$R$19)</f>
        <v/>
      </c>
      <c r="I164" t="str">
        <f t="shared" si="93"/>
        <v/>
      </c>
      <c r="M164" t="str">
        <f t="shared" si="94"/>
        <v/>
      </c>
      <c r="U164" t="str">
        <f>IF(B164="","",step01标题尺码信息!$S$1)</f>
        <v/>
      </c>
      <c r="V164" t="str">
        <f t="shared" si="95"/>
        <v/>
      </c>
      <c r="W164" t="str">
        <f>IF(B164="","",step01标题尺码信息!$V$1)</f>
        <v/>
      </c>
      <c r="X164" t="str">
        <f>IF(B164="","",step01标题尺码信息!$V$2)</f>
        <v/>
      </c>
      <c r="Y164" t="str">
        <f t="shared" si="96"/>
        <v/>
      </c>
      <c r="Z164" t="str">
        <f t="shared" si="97"/>
        <v/>
      </c>
      <c r="AA164" t="str">
        <f ca="1">IF(B164="","",IF(CB164="Parent","",VLOOKUP(B164,step01标题尺码信息!G:P,9,0)))</f>
        <v/>
      </c>
      <c r="AG164" t="str">
        <f t="shared" si="111"/>
        <v/>
      </c>
      <c r="AH164" t="str">
        <f t="shared" si="112"/>
        <v/>
      </c>
      <c r="AI164" t="str">
        <f ca="1">IF(OR(B164="",VLOOKUP(BH164,step02图片链接!B:E,4,0)=""),"",VLOOKUP(BH164,step02图片链接!B:E,4,0))</f>
        <v/>
      </c>
      <c r="AJ164" t="str">
        <f ca="1">IF(OR(B164="",VLOOKUP(BH164,step02图片链接!B:G,6,0)=""),"",VLOOKUP(BH164,step02图片链接!B:G,6,0))</f>
        <v/>
      </c>
      <c r="AK164" t="str">
        <f ca="1">IF(OR(B164="",VLOOKUP(BH164,step02图片链接!B:H,7,0)=""),"",VLOOKUP(BH164,step02图片链接!B:H,7,0))</f>
        <v/>
      </c>
      <c r="AL164" t="str">
        <f ca="1">IF(OR(B164="",VLOOKUP(BH164,step02图片链接!B:I,8,0)=""),"",VLOOKUP(BH164,step02图片链接!B:I,8,0))</f>
        <v/>
      </c>
      <c r="AM164" t="str">
        <f ca="1">IF(OR(B164="",VLOOKUP(BH164,step02图片链接!B:J,9,0)=""),"",VLOOKUP(BH164,step02图片链接!B:J,9,0))</f>
        <v/>
      </c>
      <c r="AN164" t="str">
        <f ca="1">IF(OR(B164="",VLOOKUP(BH164,step02图片链接!B:K,10,0)=""),"",VLOOKUP(BH164,step02图片链接!B:K,10,0))</f>
        <v/>
      </c>
      <c r="AO164" t="str">
        <f ca="1">IF(OR(B164="",VLOOKUP(BH164,step02图片链接!B:L,11,0)=""),"",VLOOKUP(BH164,step02图片链接!B:L,11,0))</f>
        <v/>
      </c>
      <c r="AP164" t="str">
        <f ca="1">IF(OR(B164="",VLOOKUP(BH164,step02图片链接!B:M,12,0)=""),"",VLOOKUP(BH164,step02图片链接!B:M,12,0))</f>
        <v/>
      </c>
      <c r="AQ164" t="str">
        <f ca="1">IF(OR(B164="",VLOOKUP(BH164,step02图片链接!B:N,13,0)=""),"",VLOOKUP(BH164,step02图片链接!B:N,13,0))</f>
        <v/>
      </c>
      <c r="AS164" t="str">
        <f t="shared" si="113"/>
        <v/>
      </c>
      <c r="AT164" t="str">
        <f t="shared" si="114"/>
        <v/>
      </c>
      <c r="AU164" t="str">
        <f t="shared" si="98"/>
        <v/>
      </c>
      <c r="AV164" t="str">
        <f>IF(B164="","",step01标题尺码信息!$T$36)</f>
        <v/>
      </c>
      <c r="AZ164" t="str">
        <f>IF(B164="","",step01标题尺码信息!$S$41)</f>
        <v/>
      </c>
      <c r="BA164" t="str">
        <f>IF(B164="","",step01标题尺码信息!$S$43)</f>
        <v/>
      </c>
      <c r="BB164" t="str">
        <f>IF(B164="","",step01标题尺码信息!$S$45)</f>
        <v/>
      </c>
      <c r="BC164" t="str">
        <f>IF(B164="","",step01标题尺码信息!$S$47)</f>
        <v/>
      </c>
      <c r="BD164" t="str">
        <f>IF(B164="","",step01标题尺码信息!$S$49)</f>
        <v/>
      </c>
      <c r="BE164" t="str">
        <f>IF(B164="","",step01标题尺码信息!$S$53)</f>
        <v/>
      </c>
      <c r="BH164" t="str">
        <f ca="1">IF(B164="","",IF(DX164="Parent","",VLOOKUP(B164,step01标题尺码信息!G:P,7,0)))</f>
        <v/>
      </c>
      <c r="BI164" t="str">
        <f ca="1">IF(B164="","",IF(DX164="Parent","",VLOOKUP(B164,step01标题尺码信息!G:P,8,0)))</f>
        <v/>
      </c>
      <c r="BK164" t="str">
        <f t="shared" si="99"/>
        <v/>
      </c>
      <c r="BL164" t="str">
        <f t="shared" si="100"/>
        <v/>
      </c>
      <c r="BO164" t="str">
        <f t="shared" si="101"/>
        <v/>
      </c>
      <c r="BR164" t="str">
        <f ca="1">IF(B164="","",IF(AS164="Parent","",VLOOKUP(B164,step01标题尺码信息!G:P,9,0)))</f>
        <v/>
      </c>
      <c r="CY164" t="str">
        <f t="shared" si="102"/>
        <v/>
      </c>
      <c r="DG164" t="str">
        <f>IF(B164="","",step01标题尺码信息!$T$30)</f>
        <v/>
      </c>
      <c r="DH164" t="str">
        <f t="shared" si="103"/>
        <v/>
      </c>
      <c r="DN164" t="str">
        <f ca="1" t="shared" si="104"/>
        <v/>
      </c>
      <c r="DW164" t="str">
        <f t="shared" si="105"/>
        <v/>
      </c>
      <c r="ER164" t="str">
        <f>IF(B164="","",step01标题尺码信息!$T$37)</f>
        <v/>
      </c>
      <c r="ES164" t="str">
        <f t="shared" si="106"/>
        <v/>
      </c>
      <c r="HF164" t="str">
        <f>IF(B164="","",step01标题尺码信息!$S$2)</f>
        <v/>
      </c>
      <c r="HH164" t="str">
        <f t="shared" si="107"/>
        <v/>
      </c>
      <c r="HI164" t="str">
        <f t="shared" si="108"/>
        <v/>
      </c>
      <c r="HL164" t="str">
        <f t="shared" si="109"/>
        <v/>
      </c>
      <c r="IA164" t="str">
        <f t="shared" si="110"/>
        <v/>
      </c>
    </row>
    <row r="165" spans="1:235">
      <c r="A165" t="str">
        <f>IF(B165="","",step01标题尺码信息!$B$3)</f>
        <v/>
      </c>
      <c r="B165" t="str">
        <f>IF(step01标题尺码信息!G167="","",step01标题尺码信息!G167)</f>
        <v/>
      </c>
      <c r="C165" t="str">
        <f>IF(B165="","",step01标题尺码信息!$E$3)</f>
        <v/>
      </c>
      <c r="D165" t="str">
        <f t="shared" ref="D165:D204" si="115">IF(B165="","","Update")</f>
        <v/>
      </c>
      <c r="E165" t="str">
        <f ca="1">IF(B165="","",VLOOKUP(B165,step01标题尺码信息!G:P,4,0))</f>
        <v/>
      </c>
      <c r="H165" t="str">
        <f>IF(B165="","",step01标题尺码信息!$R$19)</f>
        <v/>
      </c>
      <c r="I165" t="str">
        <f t="shared" ref="I165:I204" si="116">IF(B165="","","novelty-t-shirts")</f>
        <v/>
      </c>
      <c r="M165" t="str">
        <f t="shared" ref="M165:M204" si="117">IF(B165="","","Synthetic")</f>
        <v/>
      </c>
      <c r="U165" t="str">
        <f>IF(B165="","",step01标题尺码信息!$S$1)</f>
        <v/>
      </c>
      <c r="V165" t="str">
        <f t="shared" ref="V165:V204" si="118">IF(B165="","",1000)</f>
        <v/>
      </c>
      <c r="W165" t="str">
        <f>IF(B165="","",step01标题尺码信息!$V$1)</f>
        <v/>
      </c>
      <c r="X165" t="str">
        <f>IF(B165="","",step01标题尺码信息!$V$2)</f>
        <v/>
      </c>
      <c r="Y165" t="str">
        <f t="shared" ref="Y165:Y204" si="119">IF(B165="","","US")</f>
        <v/>
      </c>
      <c r="Z165" t="str">
        <f t="shared" ref="Z165:Z204" si="120">IF(B165="","","Alpha")</f>
        <v/>
      </c>
      <c r="AA165" t="str">
        <f ca="1">IF(B165="","",IF(CB165="Parent","",VLOOKUP(B165,step01标题尺码信息!G:P,9,0)))</f>
        <v/>
      </c>
      <c r="AG165" t="str">
        <f t="shared" si="111"/>
        <v/>
      </c>
      <c r="AH165" t="str">
        <f t="shared" si="112"/>
        <v/>
      </c>
      <c r="AI165" t="str">
        <f ca="1">IF(OR(B165="",VLOOKUP(BH165,step02图片链接!B:E,4,0)=""),"",VLOOKUP(BH165,step02图片链接!B:E,4,0))</f>
        <v/>
      </c>
      <c r="AJ165" t="str">
        <f ca="1">IF(OR(B165="",VLOOKUP(BH165,step02图片链接!B:G,6,0)=""),"",VLOOKUP(BH165,step02图片链接!B:G,6,0))</f>
        <v/>
      </c>
      <c r="AK165" t="str">
        <f ca="1">IF(OR(B165="",VLOOKUP(BH165,step02图片链接!B:H,7,0)=""),"",VLOOKUP(BH165,step02图片链接!B:H,7,0))</f>
        <v/>
      </c>
      <c r="AL165" t="str">
        <f ca="1">IF(OR(B165="",VLOOKUP(BH165,step02图片链接!B:I,8,0)=""),"",VLOOKUP(BH165,step02图片链接!B:I,8,0))</f>
        <v/>
      </c>
      <c r="AM165" t="str">
        <f ca="1">IF(OR(B165="",VLOOKUP(BH165,step02图片链接!B:J,9,0)=""),"",VLOOKUP(BH165,step02图片链接!B:J,9,0))</f>
        <v/>
      </c>
      <c r="AN165" t="str">
        <f ca="1">IF(OR(B165="",VLOOKUP(BH165,step02图片链接!B:K,10,0)=""),"",VLOOKUP(BH165,step02图片链接!B:K,10,0))</f>
        <v/>
      </c>
      <c r="AO165" t="str">
        <f ca="1">IF(OR(B165="",VLOOKUP(BH165,step02图片链接!B:L,11,0)=""),"",VLOOKUP(BH165,step02图片链接!B:L,11,0))</f>
        <v/>
      </c>
      <c r="AP165" t="str">
        <f ca="1">IF(OR(B165="",VLOOKUP(BH165,step02图片链接!B:M,12,0)=""),"",VLOOKUP(BH165,step02图片链接!B:M,12,0))</f>
        <v/>
      </c>
      <c r="AQ165" t="str">
        <f ca="1">IF(OR(B165="",VLOOKUP(BH165,step02图片链接!B:N,13,0)=""),"",VLOOKUP(BH165,step02图片链接!B:N,13,0))</f>
        <v/>
      </c>
      <c r="AS165" t="str">
        <f t="shared" si="113"/>
        <v/>
      </c>
      <c r="AT165" t="str">
        <f t="shared" si="114"/>
        <v/>
      </c>
      <c r="AU165" t="str">
        <f t="shared" ref="AU165:AU204" si="121">IF(AT165="","","Variation")</f>
        <v/>
      </c>
      <c r="AV165" t="str">
        <f>IF(B165="","",step01标题尺码信息!$T$36)</f>
        <v/>
      </c>
      <c r="AZ165" t="str">
        <f>IF(B165="","",step01标题尺码信息!$S$41)</f>
        <v/>
      </c>
      <c r="BA165" t="str">
        <f>IF(B165="","",step01标题尺码信息!$S$43)</f>
        <v/>
      </c>
      <c r="BB165" t="str">
        <f>IF(B165="","",step01标题尺码信息!$S$45)</f>
        <v/>
      </c>
      <c r="BC165" t="str">
        <f>IF(B165="","",step01标题尺码信息!$S$47)</f>
        <v/>
      </c>
      <c r="BD165" t="str">
        <f>IF(B165="","",step01标题尺码信息!$S$49)</f>
        <v/>
      </c>
      <c r="BE165" t="str">
        <f>IF(B165="","",step01标题尺码信息!$S$53)</f>
        <v/>
      </c>
      <c r="BH165" t="str">
        <f ca="1">IF(B165="","",IF(DX165="Parent","",VLOOKUP(B165,step01标题尺码信息!G:P,7,0)))</f>
        <v/>
      </c>
      <c r="BI165" t="str">
        <f ca="1">IF(B165="","",IF(DX165="Parent","",VLOOKUP(B165,step01标题尺码信息!G:P,8,0)))</f>
        <v/>
      </c>
      <c r="BK165" t="str">
        <f t="shared" ref="BK165:BK204" si="122">IF(B165="","","Unisex Adult")</f>
        <v/>
      </c>
      <c r="BL165" t="str">
        <f t="shared" ref="BL165:BL204" si="123">IF(B165="","","Regular")</f>
        <v/>
      </c>
      <c r="BO165" t="str">
        <f t="shared" ref="BO165:BO204" si="124">IF(B165="","","Crewneck")</f>
        <v/>
      </c>
      <c r="BR165" t="str">
        <f ca="1">IF(B165="","",IF(AS165="Parent","",VLOOKUP(B165,step01标题尺码信息!G:P,9,0)))</f>
        <v/>
      </c>
      <c r="CY165" t="str">
        <f t="shared" ref="CY165:CY204" si="125">IF(B165="","","Short Sleeve")</f>
        <v/>
      </c>
      <c r="DG165" t="str">
        <f>IF(B165="","",step01标题尺码信息!$T$30)</f>
        <v/>
      </c>
      <c r="DH165" t="str">
        <f t="shared" ref="DH165:DH204" si="126">IF(B165="","","KG")</f>
        <v/>
      </c>
      <c r="DN165" t="str">
        <f ca="1" t="shared" ref="DN165:DN204" si="127">BR165</f>
        <v/>
      </c>
      <c r="DW165" t="str">
        <f t="shared" ref="DW165:DW204" si="128">IF(B165="","","DEFAULT")</f>
        <v/>
      </c>
      <c r="ER165" t="str">
        <f>IF(B165="","",step01标题尺码信息!$T$37)</f>
        <v/>
      </c>
      <c r="ES165" t="str">
        <f t="shared" ref="ES165:ES204" si="129">IF(B165="","","Imported")</f>
        <v/>
      </c>
      <c r="HF165" t="str">
        <f>IF(B165="","",step01标题尺码信息!$S$2)</f>
        <v/>
      </c>
      <c r="HH165" t="str">
        <f t="shared" ref="HH165:HH204" si="130">IF(B165="","","USD")</f>
        <v/>
      </c>
      <c r="HI165" t="str">
        <f t="shared" ref="HI165:HI204" si="131">IF(B165="","","NEW")</f>
        <v/>
      </c>
      <c r="HL165" t="str">
        <f t="shared" ref="HL165:HL204" si="132">IF(B165="","","10")</f>
        <v/>
      </c>
      <c r="IA165" t="str">
        <f t="shared" ref="IA165:IA204" si="133">IF(B165="","","Migrated Template")</f>
        <v/>
      </c>
    </row>
    <row r="166" spans="1:235">
      <c r="A166" t="str">
        <f>IF(B166="","",step01标题尺码信息!$B$3)</f>
        <v/>
      </c>
      <c r="B166" t="str">
        <f>IF(step01标题尺码信息!G168="","",step01标题尺码信息!G168)</f>
        <v/>
      </c>
      <c r="C166" t="str">
        <f>IF(B166="","",step01标题尺码信息!$E$3)</f>
        <v/>
      </c>
      <c r="D166" t="str">
        <f t="shared" si="115"/>
        <v/>
      </c>
      <c r="E166" t="str">
        <f ca="1">IF(B166="","",VLOOKUP(B166,step01标题尺码信息!G:P,4,0))</f>
        <v/>
      </c>
      <c r="H166" t="str">
        <f>IF(B166="","",step01标题尺码信息!$R$19)</f>
        <v/>
      </c>
      <c r="I166" t="str">
        <f t="shared" si="116"/>
        <v/>
      </c>
      <c r="M166" t="str">
        <f t="shared" si="117"/>
        <v/>
      </c>
      <c r="U166" t="str">
        <f>IF(B166="","",step01标题尺码信息!$S$1)</f>
        <v/>
      </c>
      <c r="V166" t="str">
        <f t="shared" si="118"/>
        <v/>
      </c>
      <c r="W166" t="str">
        <f>IF(B166="","",step01标题尺码信息!$V$1)</f>
        <v/>
      </c>
      <c r="X166" t="str">
        <f>IF(B166="","",step01标题尺码信息!$V$2)</f>
        <v/>
      </c>
      <c r="Y166" t="str">
        <f t="shared" si="119"/>
        <v/>
      </c>
      <c r="Z166" t="str">
        <f t="shared" si="120"/>
        <v/>
      </c>
      <c r="AA166" t="str">
        <f ca="1">IF(B166="","",IF(CB166="Parent","",VLOOKUP(B166,step01标题尺码信息!G:P,9,0)))</f>
        <v/>
      </c>
      <c r="AG166" t="str">
        <f t="shared" ref="AG166:AG203" si="134">IF(B166="","","Regular")</f>
        <v/>
      </c>
      <c r="AH166" t="str">
        <f t="shared" ref="AH166:AH203" si="135">IF(B166="","","Regular")</f>
        <v/>
      </c>
      <c r="AI166" t="str">
        <f ca="1">IF(OR(B166="",VLOOKUP(BH166,step02图片链接!B:E,4,0)=""),"",VLOOKUP(BH166,step02图片链接!B:E,4,0))</f>
        <v/>
      </c>
      <c r="AJ166" t="str">
        <f ca="1">IF(OR(B166="",VLOOKUP(BH166,step02图片链接!B:G,6,0)=""),"",VLOOKUP(BH166,step02图片链接!B:G,6,0))</f>
        <v/>
      </c>
      <c r="AK166" t="str">
        <f ca="1">IF(OR(B166="",VLOOKUP(BH166,step02图片链接!B:H,7,0)=""),"",VLOOKUP(BH166,step02图片链接!B:H,7,0))</f>
        <v/>
      </c>
      <c r="AL166" t="str">
        <f ca="1">IF(OR(B166="",VLOOKUP(BH166,step02图片链接!B:I,8,0)=""),"",VLOOKUP(BH166,step02图片链接!B:I,8,0))</f>
        <v/>
      </c>
      <c r="AM166" t="str">
        <f ca="1">IF(OR(B166="",VLOOKUP(BH166,step02图片链接!B:J,9,0)=""),"",VLOOKUP(BH166,step02图片链接!B:J,9,0))</f>
        <v/>
      </c>
      <c r="AN166" t="str">
        <f ca="1">IF(OR(B166="",VLOOKUP(BH166,step02图片链接!B:K,10,0)=""),"",VLOOKUP(BH166,step02图片链接!B:K,10,0))</f>
        <v/>
      </c>
      <c r="AO166" t="str">
        <f ca="1">IF(OR(B166="",VLOOKUP(BH166,step02图片链接!B:L,11,0)=""),"",VLOOKUP(BH166,step02图片链接!B:L,11,0))</f>
        <v/>
      </c>
      <c r="AP166" t="str">
        <f ca="1">IF(OR(B166="",VLOOKUP(BH166,step02图片链接!B:M,12,0)=""),"",VLOOKUP(BH166,step02图片链接!B:M,12,0))</f>
        <v/>
      </c>
      <c r="AQ166" t="str">
        <f ca="1">IF(OR(B166="",VLOOKUP(BH166,step02图片链接!B:N,13,0)=""),"",VLOOKUP(BH166,step02图片链接!B:N,13,0))</f>
        <v/>
      </c>
      <c r="AS166" t="str">
        <f t="shared" ref="AS166:AS204" si="136">IF(AT166="","","Child")</f>
        <v/>
      </c>
      <c r="AT166" t="str">
        <f t="shared" ref="AT166:AT204" si="137">IF(B166="","",$B$4)</f>
        <v/>
      </c>
      <c r="AU166" t="str">
        <f t="shared" si="121"/>
        <v/>
      </c>
      <c r="AV166" t="str">
        <f>IF(B166="","",step01标题尺码信息!$T$36)</f>
        <v/>
      </c>
      <c r="AZ166" t="str">
        <f>IF(B166="","",step01标题尺码信息!$S$41)</f>
        <v/>
      </c>
      <c r="BA166" t="str">
        <f>IF(B166="","",step01标题尺码信息!$S$43)</f>
        <v/>
      </c>
      <c r="BB166" t="str">
        <f>IF(B166="","",step01标题尺码信息!$S$45)</f>
        <v/>
      </c>
      <c r="BC166" t="str">
        <f>IF(B166="","",step01标题尺码信息!$S$47)</f>
        <v/>
      </c>
      <c r="BD166" t="str">
        <f>IF(B166="","",step01标题尺码信息!$S$49)</f>
        <v/>
      </c>
      <c r="BE166" t="str">
        <f>IF(B166="","",step01标题尺码信息!$S$53)</f>
        <v/>
      </c>
      <c r="BH166" t="str">
        <f ca="1">IF(B166="","",IF(DX166="Parent","",VLOOKUP(B166,step01标题尺码信息!G:P,7,0)))</f>
        <v/>
      </c>
      <c r="BI166" t="str">
        <f ca="1">IF(B166="","",IF(DX166="Parent","",VLOOKUP(B166,step01标题尺码信息!G:P,8,0)))</f>
        <v/>
      </c>
      <c r="BK166" t="str">
        <f t="shared" si="122"/>
        <v/>
      </c>
      <c r="BL166" t="str">
        <f t="shared" si="123"/>
        <v/>
      </c>
      <c r="BO166" t="str">
        <f t="shared" si="124"/>
        <v/>
      </c>
      <c r="BR166" t="str">
        <f ca="1">IF(B166="","",IF(AS166="Parent","",VLOOKUP(B166,step01标题尺码信息!G:P,9,0)))</f>
        <v/>
      </c>
      <c r="CY166" t="str">
        <f t="shared" si="125"/>
        <v/>
      </c>
      <c r="DG166" t="str">
        <f>IF(B166="","",step01标题尺码信息!$T$30)</f>
        <v/>
      </c>
      <c r="DH166" t="str">
        <f t="shared" si="126"/>
        <v/>
      </c>
      <c r="DN166" t="str">
        <f ca="1" t="shared" si="127"/>
        <v/>
      </c>
      <c r="DW166" t="str">
        <f t="shared" si="128"/>
        <v/>
      </c>
      <c r="ER166" t="str">
        <f>IF(B166="","",step01标题尺码信息!$T$37)</f>
        <v/>
      </c>
      <c r="ES166" t="str">
        <f t="shared" si="129"/>
        <v/>
      </c>
      <c r="HF166" t="str">
        <f>IF(B166="","",step01标题尺码信息!$S$2)</f>
        <v/>
      </c>
      <c r="HH166" t="str">
        <f t="shared" si="130"/>
        <v/>
      </c>
      <c r="HI166" t="str">
        <f t="shared" si="131"/>
        <v/>
      </c>
      <c r="HL166" t="str">
        <f t="shared" si="132"/>
        <v/>
      </c>
      <c r="IA166" t="str">
        <f t="shared" si="133"/>
        <v/>
      </c>
    </row>
    <row r="167" spans="1:235">
      <c r="A167" t="str">
        <f>IF(B167="","",step01标题尺码信息!$B$3)</f>
        <v/>
      </c>
      <c r="B167" t="str">
        <f>IF(step01标题尺码信息!G169="","",step01标题尺码信息!G169)</f>
        <v/>
      </c>
      <c r="C167" t="str">
        <f>IF(B167="","",step01标题尺码信息!$E$3)</f>
        <v/>
      </c>
      <c r="D167" t="str">
        <f t="shared" si="115"/>
        <v/>
      </c>
      <c r="E167" t="str">
        <f ca="1">IF(B167="","",VLOOKUP(B167,step01标题尺码信息!G:P,4,0))</f>
        <v/>
      </c>
      <c r="H167" t="str">
        <f>IF(B167="","",step01标题尺码信息!$R$19)</f>
        <v/>
      </c>
      <c r="I167" t="str">
        <f t="shared" si="116"/>
        <v/>
      </c>
      <c r="M167" t="str">
        <f t="shared" si="117"/>
        <v/>
      </c>
      <c r="U167" t="str">
        <f>IF(B167="","",step01标题尺码信息!$S$1)</f>
        <v/>
      </c>
      <c r="V167" t="str">
        <f t="shared" si="118"/>
        <v/>
      </c>
      <c r="W167" t="str">
        <f>IF(B167="","",step01标题尺码信息!$V$1)</f>
        <v/>
      </c>
      <c r="X167" t="str">
        <f>IF(B167="","",step01标题尺码信息!$V$2)</f>
        <v/>
      </c>
      <c r="Y167" t="str">
        <f t="shared" si="119"/>
        <v/>
      </c>
      <c r="Z167" t="str">
        <f t="shared" si="120"/>
        <v/>
      </c>
      <c r="AA167" t="str">
        <f ca="1">IF(B167="","",IF(CB167="Parent","",VLOOKUP(B167,step01标题尺码信息!G:P,9,0)))</f>
        <v/>
      </c>
      <c r="AG167" t="str">
        <f t="shared" si="134"/>
        <v/>
      </c>
      <c r="AH167" t="str">
        <f t="shared" si="135"/>
        <v/>
      </c>
      <c r="AI167" t="str">
        <f ca="1">IF(OR(B167="",VLOOKUP(BH167,step02图片链接!B:E,4,0)=""),"",VLOOKUP(BH167,step02图片链接!B:E,4,0))</f>
        <v/>
      </c>
      <c r="AJ167" t="str">
        <f ca="1">IF(OR(B167="",VLOOKUP(BH167,step02图片链接!B:G,6,0)=""),"",VLOOKUP(BH167,step02图片链接!B:G,6,0))</f>
        <v/>
      </c>
      <c r="AK167" t="str">
        <f ca="1">IF(OR(B167="",VLOOKUP(BH167,step02图片链接!B:H,7,0)=""),"",VLOOKUP(BH167,step02图片链接!B:H,7,0))</f>
        <v/>
      </c>
      <c r="AL167" t="str">
        <f ca="1">IF(OR(B167="",VLOOKUP(BH167,step02图片链接!B:I,8,0)=""),"",VLOOKUP(BH167,step02图片链接!B:I,8,0))</f>
        <v/>
      </c>
      <c r="AM167" t="str">
        <f ca="1">IF(OR(B167="",VLOOKUP(BH167,step02图片链接!B:J,9,0)=""),"",VLOOKUP(BH167,step02图片链接!B:J,9,0))</f>
        <v/>
      </c>
      <c r="AN167" t="str">
        <f ca="1">IF(OR(B167="",VLOOKUP(BH167,step02图片链接!B:K,10,0)=""),"",VLOOKUP(BH167,step02图片链接!B:K,10,0))</f>
        <v/>
      </c>
      <c r="AO167" t="str">
        <f ca="1">IF(OR(B167="",VLOOKUP(BH167,step02图片链接!B:L,11,0)=""),"",VLOOKUP(BH167,step02图片链接!B:L,11,0))</f>
        <v/>
      </c>
      <c r="AP167" t="str">
        <f ca="1">IF(OR(B167="",VLOOKUP(BH167,step02图片链接!B:M,12,0)=""),"",VLOOKUP(BH167,step02图片链接!B:M,12,0))</f>
        <v/>
      </c>
      <c r="AQ167" t="str">
        <f ca="1">IF(OR(B167="",VLOOKUP(BH167,step02图片链接!B:N,13,0)=""),"",VLOOKUP(BH167,step02图片链接!B:N,13,0))</f>
        <v/>
      </c>
      <c r="AS167" t="str">
        <f t="shared" si="136"/>
        <v/>
      </c>
      <c r="AT167" t="str">
        <f t="shared" si="137"/>
        <v/>
      </c>
      <c r="AU167" t="str">
        <f t="shared" si="121"/>
        <v/>
      </c>
      <c r="AV167" t="str">
        <f>IF(B167="","",step01标题尺码信息!$T$36)</f>
        <v/>
      </c>
      <c r="AZ167" t="str">
        <f>IF(B167="","",step01标题尺码信息!$S$41)</f>
        <v/>
      </c>
      <c r="BA167" t="str">
        <f>IF(B167="","",step01标题尺码信息!$S$43)</f>
        <v/>
      </c>
      <c r="BB167" t="str">
        <f>IF(B167="","",step01标题尺码信息!$S$45)</f>
        <v/>
      </c>
      <c r="BC167" t="str">
        <f>IF(B167="","",step01标题尺码信息!$S$47)</f>
        <v/>
      </c>
      <c r="BD167" t="str">
        <f>IF(B167="","",step01标题尺码信息!$S$49)</f>
        <v/>
      </c>
      <c r="BE167" t="str">
        <f>IF(B167="","",step01标题尺码信息!$S$53)</f>
        <v/>
      </c>
      <c r="BH167" t="str">
        <f ca="1">IF(B167="","",IF(DX167="Parent","",VLOOKUP(B167,step01标题尺码信息!G:P,7,0)))</f>
        <v/>
      </c>
      <c r="BI167" t="str">
        <f ca="1">IF(B167="","",IF(DX167="Parent","",VLOOKUP(B167,step01标题尺码信息!G:P,8,0)))</f>
        <v/>
      </c>
      <c r="BK167" t="str">
        <f t="shared" si="122"/>
        <v/>
      </c>
      <c r="BL167" t="str">
        <f t="shared" si="123"/>
        <v/>
      </c>
      <c r="BO167" t="str">
        <f t="shared" si="124"/>
        <v/>
      </c>
      <c r="BR167" t="str">
        <f ca="1">IF(B167="","",IF(AS167="Parent","",VLOOKUP(B167,step01标题尺码信息!G:P,9,0)))</f>
        <v/>
      </c>
      <c r="CY167" t="str">
        <f t="shared" si="125"/>
        <v/>
      </c>
      <c r="DG167" t="str">
        <f>IF(B167="","",step01标题尺码信息!$T$30)</f>
        <v/>
      </c>
      <c r="DH167" t="str">
        <f t="shared" si="126"/>
        <v/>
      </c>
      <c r="DN167" t="str">
        <f ca="1" t="shared" si="127"/>
        <v/>
      </c>
      <c r="DW167" t="str">
        <f t="shared" si="128"/>
        <v/>
      </c>
      <c r="ER167" t="str">
        <f>IF(B167="","",step01标题尺码信息!$T$37)</f>
        <v/>
      </c>
      <c r="ES167" t="str">
        <f t="shared" si="129"/>
        <v/>
      </c>
      <c r="HF167" t="str">
        <f>IF(B167="","",step01标题尺码信息!$S$2)</f>
        <v/>
      </c>
      <c r="HH167" t="str">
        <f t="shared" si="130"/>
        <v/>
      </c>
      <c r="HI167" t="str">
        <f t="shared" si="131"/>
        <v/>
      </c>
      <c r="HL167" t="str">
        <f t="shared" si="132"/>
        <v/>
      </c>
      <c r="IA167" t="str">
        <f t="shared" si="133"/>
        <v/>
      </c>
    </row>
    <row r="168" spans="1:235">
      <c r="A168" t="str">
        <f>IF(B168="","",step01标题尺码信息!$B$3)</f>
        <v/>
      </c>
      <c r="B168" t="str">
        <f>IF(step01标题尺码信息!G170="","",step01标题尺码信息!G170)</f>
        <v/>
      </c>
      <c r="C168" t="str">
        <f>IF(B168="","",step01标题尺码信息!$E$3)</f>
        <v/>
      </c>
      <c r="D168" t="str">
        <f t="shared" si="115"/>
        <v/>
      </c>
      <c r="E168" t="str">
        <f ca="1">IF(B168="","",VLOOKUP(B168,step01标题尺码信息!G:P,4,0))</f>
        <v/>
      </c>
      <c r="H168" t="str">
        <f>IF(B168="","",step01标题尺码信息!$R$19)</f>
        <v/>
      </c>
      <c r="I168" t="str">
        <f t="shared" si="116"/>
        <v/>
      </c>
      <c r="M168" t="str">
        <f t="shared" si="117"/>
        <v/>
      </c>
      <c r="U168" t="str">
        <f>IF(B168="","",step01标题尺码信息!$S$1)</f>
        <v/>
      </c>
      <c r="V168" t="str">
        <f t="shared" si="118"/>
        <v/>
      </c>
      <c r="W168" t="str">
        <f>IF(B168="","",step01标题尺码信息!$V$1)</f>
        <v/>
      </c>
      <c r="X168" t="str">
        <f>IF(B168="","",step01标题尺码信息!$V$2)</f>
        <v/>
      </c>
      <c r="Y168" t="str">
        <f t="shared" si="119"/>
        <v/>
      </c>
      <c r="Z168" t="str">
        <f t="shared" si="120"/>
        <v/>
      </c>
      <c r="AA168" t="str">
        <f ca="1">IF(B168="","",IF(CB168="Parent","",VLOOKUP(B168,step01标题尺码信息!G:P,9,0)))</f>
        <v/>
      </c>
      <c r="AG168" t="str">
        <f t="shared" si="134"/>
        <v/>
      </c>
      <c r="AH168" t="str">
        <f t="shared" si="135"/>
        <v/>
      </c>
      <c r="AI168" t="str">
        <f ca="1">IF(OR(B168="",VLOOKUP(BH168,step02图片链接!B:E,4,0)=""),"",VLOOKUP(BH168,step02图片链接!B:E,4,0))</f>
        <v/>
      </c>
      <c r="AJ168" t="str">
        <f ca="1">IF(OR(B168="",VLOOKUP(BH168,step02图片链接!B:G,6,0)=""),"",VLOOKUP(BH168,step02图片链接!B:G,6,0))</f>
        <v/>
      </c>
      <c r="AK168" t="str">
        <f ca="1">IF(OR(B168="",VLOOKUP(BH168,step02图片链接!B:H,7,0)=""),"",VLOOKUP(BH168,step02图片链接!B:H,7,0))</f>
        <v/>
      </c>
      <c r="AL168" t="str">
        <f ca="1">IF(OR(B168="",VLOOKUP(BH168,step02图片链接!B:I,8,0)=""),"",VLOOKUP(BH168,step02图片链接!B:I,8,0))</f>
        <v/>
      </c>
      <c r="AM168" t="str">
        <f ca="1">IF(OR(B168="",VLOOKUP(BH168,step02图片链接!B:J,9,0)=""),"",VLOOKUP(BH168,step02图片链接!B:J,9,0))</f>
        <v/>
      </c>
      <c r="AN168" t="str">
        <f ca="1">IF(OR(B168="",VLOOKUP(BH168,step02图片链接!B:K,10,0)=""),"",VLOOKUP(BH168,step02图片链接!B:K,10,0))</f>
        <v/>
      </c>
      <c r="AO168" t="str">
        <f ca="1">IF(OR(B168="",VLOOKUP(BH168,step02图片链接!B:L,11,0)=""),"",VLOOKUP(BH168,step02图片链接!B:L,11,0))</f>
        <v/>
      </c>
      <c r="AP168" t="str">
        <f ca="1">IF(OR(B168="",VLOOKUP(BH168,step02图片链接!B:M,12,0)=""),"",VLOOKUP(BH168,step02图片链接!B:M,12,0))</f>
        <v/>
      </c>
      <c r="AQ168" t="str">
        <f ca="1">IF(OR(B168="",VLOOKUP(BH168,step02图片链接!B:N,13,0)=""),"",VLOOKUP(BH168,step02图片链接!B:N,13,0))</f>
        <v/>
      </c>
      <c r="AS168" t="str">
        <f t="shared" si="136"/>
        <v/>
      </c>
      <c r="AT168" t="str">
        <f t="shared" si="137"/>
        <v/>
      </c>
      <c r="AU168" t="str">
        <f t="shared" si="121"/>
        <v/>
      </c>
      <c r="AV168" t="str">
        <f>IF(B168="","",step01标题尺码信息!$T$36)</f>
        <v/>
      </c>
      <c r="AZ168" t="str">
        <f>IF(B168="","",step01标题尺码信息!$S$41)</f>
        <v/>
      </c>
      <c r="BA168" t="str">
        <f>IF(B168="","",step01标题尺码信息!$S$43)</f>
        <v/>
      </c>
      <c r="BB168" t="str">
        <f>IF(B168="","",step01标题尺码信息!$S$45)</f>
        <v/>
      </c>
      <c r="BC168" t="str">
        <f>IF(B168="","",step01标题尺码信息!$S$47)</f>
        <v/>
      </c>
      <c r="BD168" t="str">
        <f>IF(B168="","",step01标题尺码信息!$S$49)</f>
        <v/>
      </c>
      <c r="BE168" t="str">
        <f>IF(B168="","",step01标题尺码信息!$S$53)</f>
        <v/>
      </c>
      <c r="BH168" t="str">
        <f ca="1">IF(B168="","",IF(DX168="Parent","",VLOOKUP(B168,step01标题尺码信息!G:P,7,0)))</f>
        <v/>
      </c>
      <c r="BI168" t="str">
        <f ca="1">IF(B168="","",IF(DX168="Parent","",VLOOKUP(B168,step01标题尺码信息!G:P,8,0)))</f>
        <v/>
      </c>
      <c r="BK168" t="str">
        <f t="shared" si="122"/>
        <v/>
      </c>
      <c r="BL168" t="str">
        <f t="shared" si="123"/>
        <v/>
      </c>
      <c r="BO168" t="str">
        <f t="shared" si="124"/>
        <v/>
      </c>
      <c r="BR168" t="str">
        <f ca="1">IF(B168="","",IF(AS168="Parent","",VLOOKUP(B168,step01标题尺码信息!G:P,9,0)))</f>
        <v/>
      </c>
      <c r="CY168" t="str">
        <f t="shared" si="125"/>
        <v/>
      </c>
      <c r="DG168" t="str">
        <f>IF(B168="","",step01标题尺码信息!$T$30)</f>
        <v/>
      </c>
      <c r="DH168" t="str">
        <f t="shared" si="126"/>
        <v/>
      </c>
      <c r="DN168" t="str">
        <f ca="1" t="shared" si="127"/>
        <v/>
      </c>
      <c r="DW168" t="str">
        <f t="shared" si="128"/>
        <v/>
      </c>
      <c r="ER168" t="str">
        <f>IF(B168="","",step01标题尺码信息!$T$37)</f>
        <v/>
      </c>
      <c r="ES168" t="str">
        <f t="shared" si="129"/>
        <v/>
      </c>
      <c r="HF168" t="str">
        <f>IF(B168="","",step01标题尺码信息!$S$2)</f>
        <v/>
      </c>
      <c r="HH168" t="str">
        <f t="shared" si="130"/>
        <v/>
      </c>
      <c r="HI168" t="str">
        <f t="shared" si="131"/>
        <v/>
      </c>
      <c r="HL168" t="str">
        <f t="shared" si="132"/>
        <v/>
      </c>
      <c r="IA168" t="str">
        <f t="shared" si="133"/>
        <v/>
      </c>
    </row>
    <row r="169" spans="1:235">
      <c r="A169" t="str">
        <f>IF(B169="","",step01标题尺码信息!$B$3)</f>
        <v/>
      </c>
      <c r="B169" t="str">
        <f>IF(step01标题尺码信息!G171="","",step01标题尺码信息!G171)</f>
        <v/>
      </c>
      <c r="C169" t="str">
        <f>IF(B169="","",step01标题尺码信息!$E$3)</f>
        <v/>
      </c>
      <c r="D169" t="str">
        <f t="shared" si="115"/>
        <v/>
      </c>
      <c r="E169" t="str">
        <f ca="1">IF(B169="","",VLOOKUP(B169,step01标题尺码信息!G:P,4,0))</f>
        <v/>
      </c>
      <c r="H169" t="str">
        <f>IF(B169="","",step01标题尺码信息!$R$19)</f>
        <v/>
      </c>
      <c r="I169" t="str">
        <f t="shared" si="116"/>
        <v/>
      </c>
      <c r="M169" t="str">
        <f t="shared" si="117"/>
        <v/>
      </c>
      <c r="U169" t="str">
        <f>IF(B169="","",step01标题尺码信息!$S$1)</f>
        <v/>
      </c>
      <c r="V169" t="str">
        <f t="shared" si="118"/>
        <v/>
      </c>
      <c r="W169" t="str">
        <f>IF(B169="","",step01标题尺码信息!$V$1)</f>
        <v/>
      </c>
      <c r="X169" t="str">
        <f>IF(B169="","",step01标题尺码信息!$V$2)</f>
        <v/>
      </c>
      <c r="Y169" t="str">
        <f t="shared" si="119"/>
        <v/>
      </c>
      <c r="Z169" t="str">
        <f t="shared" si="120"/>
        <v/>
      </c>
      <c r="AA169" t="str">
        <f ca="1">IF(B169="","",IF(CB169="Parent","",VLOOKUP(B169,step01标题尺码信息!G:P,9,0)))</f>
        <v/>
      </c>
      <c r="AG169" t="str">
        <f t="shared" si="134"/>
        <v/>
      </c>
      <c r="AH169" t="str">
        <f t="shared" si="135"/>
        <v/>
      </c>
      <c r="AI169" t="str">
        <f ca="1">IF(OR(B169="",VLOOKUP(BH169,step02图片链接!B:E,4,0)=""),"",VLOOKUP(BH169,step02图片链接!B:E,4,0))</f>
        <v/>
      </c>
      <c r="AJ169" t="str">
        <f ca="1">IF(OR(B169="",VLOOKUP(BH169,step02图片链接!B:G,6,0)=""),"",VLOOKUP(BH169,step02图片链接!B:G,6,0))</f>
        <v/>
      </c>
      <c r="AK169" t="str">
        <f ca="1">IF(OR(B169="",VLOOKUP(BH169,step02图片链接!B:H,7,0)=""),"",VLOOKUP(BH169,step02图片链接!B:H,7,0))</f>
        <v/>
      </c>
      <c r="AL169" t="str">
        <f ca="1">IF(OR(B169="",VLOOKUP(BH169,step02图片链接!B:I,8,0)=""),"",VLOOKUP(BH169,step02图片链接!B:I,8,0))</f>
        <v/>
      </c>
      <c r="AM169" t="str">
        <f ca="1">IF(OR(B169="",VLOOKUP(BH169,step02图片链接!B:J,9,0)=""),"",VLOOKUP(BH169,step02图片链接!B:J,9,0))</f>
        <v/>
      </c>
      <c r="AN169" t="str">
        <f ca="1">IF(OR(B169="",VLOOKUP(BH169,step02图片链接!B:K,10,0)=""),"",VLOOKUP(BH169,step02图片链接!B:K,10,0))</f>
        <v/>
      </c>
      <c r="AO169" t="str">
        <f ca="1">IF(OR(B169="",VLOOKUP(BH169,step02图片链接!B:L,11,0)=""),"",VLOOKUP(BH169,step02图片链接!B:L,11,0))</f>
        <v/>
      </c>
      <c r="AP169" t="str">
        <f ca="1">IF(OR(B169="",VLOOKUP(BH169,step02图片链接!B:M,12,0)=""),"",VLOOKUP(BH169,step02图片链接!B:M,12,0))</f>
        <v/>
      </c>
      <c r="AQ169" t="str">
        <f ca="1">IF(OR(B169="",VLOOKUP(BH169,step02图片链接!B:N,13,0)=""),"",VLOOKUP(BH169,step02图片链接!B:N,13,0))</f>
        <v/>
      </c>
      <c r="AS169" t="str">
        <f t="shared" si="136"/>
        <v/>
      </c>
      <c r="AT169" t="str">
        <f t="shared" si="137"/>
        <v/>
      </c>
      <c r="AU169" t="str">
        <f t="shared" si="121"/>
        <v/>
      </c>
      <c r="AV169" t="str">
        <f>IF(B169="","",step01标题尺码信息!$T$36)</f>
        <v/>
      </c>
      <c r="AZ169" t="str">
        <f>IF(B169="","",step01标题尺码信息!$S$41)</f>
        <v/>
      </c>
      <c r="BA169" t="str">
        <f>IF(B169="","",step01标题尺码信息!$S$43)</f>
        <v/>
      </c>
      <c r="BB169" t="str">
        <f>IF(B169="","",step01标题尺码信息!$S$45)</f>
        <v/>
      </c>
      <c r="BC169" t="str">
        <f>IF(B169="","",step01标题尺码信息!$S$47)</f>
        <v/>
      </c>
      <c r="BD169" t="str">
        <f>IF(B169="","",step01标题尺码信息!$S$49)</f>
        <v/>
      </c>
      <c r="BE169" t="str">
        <f>IF(B169="","",step01标题尺码信息!$S$53)</f>
        <v/>
      </c>
      <c r="BH169" t="str">
        <f ca="1">IF(B169="","",IF(DX169="Parent","",VLOOKUP(B169,step01标题尺码信息!G:P,7,0)))</f>
        <v/>
      </c>
      <c r="BI169" t="str">
        <f ca="1">IF(B169="","",IF(DX169="Parent","",VLOOKUP(B169,step01标题尺码信息!G:P,8,0)))</f>
        <v/>
      </c>
      <c r="BK169" t="str">
        <f t="shared" si="122"/>
        <v/>
      </c>
      <c r="BL169" t="str">
        <f t="shared" si="123"/>
        <v/>
      </c>
      <c r="BO169" t="str">
        <f t="shared" si="124"/>
        <v/>
      </c>
      <c r="BR169" t="str">
        <f ca="1">IF(B169="","",IF(AS169="Parent","",VLOOKUP(B169,step01标题尺码信息!G:P,9,0)))</f>
        <v/>
      </c>
      <c r="CY169" t="str">
        <f t="shared" si="125"/>
        <v/>
      </c>
      <c r="DG169" t="str">
        <f>IF(B169="","",step01标题尺码信息!$T$30)</f>
        <v/>
      </c>
      <c r="DH169" t="str">
        <f t="shared" si="126"/>
        <v/>
      </c>
      <c r="DN169" t="str">
        <f ca="1" t="shared" si="127"/>
        <v/>
      </c>
      <c r="DW169" t="str">
        <f t="shared" si="128"/>
        <v/>
      </c>
      <c r="ER169" t="str">
        <f>IF(B169="","",step01标题尺码信息!$T$37)</f>
        <v/>
      </c>
      <c r="ES169" t="str">
        <f t="shared" si="129"/>
        <v/>
      </c>
      <c r="HF169" t="str">
        <f>IF(B169="","",step01标题尺码信息!$S$2)</f>
        <v/>
      </c>
      <c r="HH169" t="str">
        <f t="shared" si="130"/>
        <v/>
      </c>
      <c r="HI169" t="str">
        <f t="shared" si="131"/>
        <v/>
      </c>
      <c r="HL169" t="str">
        <f t="shared" si="132"/>
        <v/>
      </c>
      <c r="IA169" t="str">
        <f t="shared" si="133"/>
        <v/>
      </c>
    </row>
    <row r="170" spans="1:235">
      <c r="A170" t="str">
        <f>IF(B170="","",step01标题尺码信息!$B$3)</f>
        <v/>
      </c>
      <c r="B170" t="str">
        <f>IF(step01标题尺码信息!G172="","",step01标题尺码信息!G172)</f>
        <v/>
      </c>
      <c r="C170" t="str">
        <f>IF(B170="","",step01标题尺码信息!$E$3)</f>
        <v/>
      </c>
      <c r="D170" t="str">
        <f t="shared" si="115"/>
        <v/>
      </c>
      <c r="E170" t="str">
        <f ca="1">IF(B170="","",VLOOKUP(B170,step01标题尺码信息!G:P,4,0))</f>
        <v/>
      </c>
      <c r="H170" t="str">
        <f>IF(B170="","",step01标题尺码信息!$R$19)</f>
        <v/>
      </c>
      <c r="I170" t="str">
        <f t="shared" si="116"/>
        <v/>
      </c>
      <c r="M170" t="str">
        <f t="shared" si="117"/>
        <v/>
      </c>
      <c r="U170" t="str">
        <f>IF(B170="","",step01标题尺码信息!$S$1)</f>
        <v/>
      </c>
      <c r="V170" t="str">
        <f t="shared" si="118"/>
        <v/>
      </c>
      <c r="W170" t="str">
        <f>IF(B170="","",step01标题尺码信息!$V$1)</f>
        <v/>
      </c>
      <c r="X170" t="str">
        <f>IF(B170="","",step01标题尺码信息!$V$2)</f>
        <v/>
      </c>
      <c r="Y170" t="str">
        <f t="shared" si="119"/>
        <v/>
      </c>
      <c r="Z170" t="str">
        <f t="shared" si="120"/>
        <v/>
      </c>
      <c r="AA170" t="str">
        <f ca="1">IF(B170="","",IF(CB170="Parent","",VLOOKUP(B170,step01标题尺码信息!G:P,9,0)))</f>
        <v/>
      </c>
      <c r="AG170" t="str">
        <f t="shared" si="134"/>
        <v/>
      </c>
      <c r="AH170" t="str">
        <f t="shared" si="135"/>
        <v/>
      </c>
      <c r="AI170" t="str">
        <f ca="1">IF(OR(B170="",VLOOKUP(BH170,step02图片链接!B:E,4,0)=""),"",VLOOKUP(BH170,step02图片链接!B:E,4,0))</f>
        <v/>
      </c>
      <c r="AJ170" t="str">
        <f ca="1">IF(OR(B170="",VLOOKUP(BH170,step02图片链接!B:G,6,0)=""),"",VLOOKUP(BH170,step02图片链接!B:G,6,0))</f>
        <v/>
      </c>
      <c r="AK170" t="str">
        <f ca="1">IF(OR(B170="",VLOOKUP(BH170,step02图片链接!B:H,7,0)=""),"",VLOOKUP(BH170,step02图片链接!B:H,7,0))</f>
        <v/>
      </c>
      <c r="AL170" t="str">
        <f ca="1">IF(OR(B170="",VLOOKUP(BH170,step02图片链接!B:I,8,0)=""),"",VLOOKUP(BH170,step02图片链接!B:I,8,0))</f>
        <v/>
      </c>
      <c r="AM170" t="str">
        <f ca="1">IF(OR(B170="",VLOOKUP(BH170,step02图片链接!B:J,9,0)=""),"",VLOOKUP(BH170,step02图片链接!B:J,9,0))</f>
        <v/>
      </c>
      <c r="AN170" t="str">
        <f ca="1">IF(OR(B170="",VLOOKUP(BH170,step02图片链接!B:K,10,0)=""),"",VLOOKUP(BH170,step02图片链接!B:K,10,0))</f>
        <v/>
      </c>
      <c r="AO170" t="str">
        <f ca="1">IF(OR(B170="",VLOOKUP(BH170,step02图片链接!B:L,11,0)=""),"",VLOOKUP(BH170,step02图片链接!B:L,11,0))</f>
        <v/>
      </c>
      <c r="AP170" t="str">
        <f ca="1">IF(OR(B170="",VLOOKUP(BH170,step02图片链接!B:M,12,0)=""),"",VLOOKUP(BH170,step02图片链接!B:M,12,0))</f>
        <v/>
      </c>
      <c r="AQ170" t="str">
        <f ca="1">IF(OR(B170="",VLOOKUP(BH170,step02图片链接!B:N,13,0)=""),"",VLOOKUP(BH170,step02图片链接!B:N,13,0))</f>
        <v/>
      </c>
      <c r="AS170" t="str">
        <f t="shared" si="136"/>
        <v/>
      </c>
      <c r="AT170" t="str">
        <f t="shared" si="137"/>
        <v/>
      </c>
      <c r="AU170" t="str">
        <f t="shared" si="121"/>
        <v/>
      </c>
      <c r="AV170" t="str">
        <f>IF(B170="","",step01标题尺码信息!$T$36)</f>
        <v/>
      </c>
      <c r="AZ170" t="str">
        <f>IF(B170="","",step01标题尺码信息!$S$41)</f>
        <v/>
      </c>
      <c r="BA170" t="str">
        <f>IF(B170="","",step01标题尺码信息!$S$43)</f>
        <v/>
      </c>
      <c r="BB170" t="str">
        <f>IF(B170="","",step01标题尺码信息!$S$45)</f>
        <v/>
      </c>
      <c r="BC170" t="str">
        <f>IF(B170="","",step01标题尺码信息!$S$47)</f>
        <v/>
      </c>
      <c r="BD170" t="str">
        <f>IF(B170="","",step01标题尺码信息!$S$49)</f>
        <v/>
      </c>
      <c r="BE170" t="str">
        <f>IF(B170="","",step01标题尺码信息!$S$53)</f>
        <v/>
      </c>
      <c r="BH170" t="str">
        <f ca="1">IF(B170="","",IF(DX170="Parent","",VLOOKUP(B170,step01标题尺码信息!G:P,7,0)))</f>
        <v/>
      </c>
      <c r="BI170" t="str">
        <f ca="1">IF(B170="","",IF(DX170="Parent","",VLOOKUP(B170,step01标题尺码信息!G:P,8,0)))</f>
        <v/>
      </c>
      <c r="BK170" t="str">
        <f t="shared" si="122"/>
        <v/>
      </c>
      <c r="BL170" t="str">
        <f t="shared" si="123"/>
        <v/>
      </c>
      <c r="BO170" t="str">
        <f t="shared" si="124"/>
        <v/>
      </c>
      <c r="BR170" t="str">
        <f ca="1">IF(B170="","",IF(AS170="Parent","",VLOOKUP(B170,step01标题尺码信息!G:P,9,0)))</f>
        <v/>
      </c>
      <c r="CY170" t="str">
        <f t="shared" si="125"/>
        <v/>
      </c>
      <c r="DG170" t="str">
        <f>IF(B170="","",step01标题尺码信息!$T$30)</f>
        <v/>
      </c>
      <c r="DH170" t="str">
        <f t="shared" si="126"/>
        <v/>
      </c>
      <c r="DN170" t="str">
        <f ca="1" t="shared" si="127"/>
        <v/>
      </c>
      <c r="DW170" t="str">
        <f t="shared" si="128"/>
        <v/>
      </c>
      <c r="ER170" t="str">
        <f>IF(B170="","",step01标题尺码信息!$T$37)</f>
        <v/>
      </c>
      <c r="ES170" t="str">
        <f t="shared" si="129"/>
        <v/>
      </c>
      <c r="HF170" t="str">
        <f>IF(B170="","",step01标题尺码信息!$S$2)</f>
        <v/>
      </c>
      <c r="HH170" t="str">
        <f t="shared" si="130"/>
        <v/>
      </c>
      <c r="HI170" t="str">
        <f t="shared" si="131"/>
        <v/>
      </c>
      <c r="HL170" t="str">
        <f t="shared" si="132"/>
        <v/>
      </c>
      <c r="IA170" t="str">
        <f t="shared" si="133"/>
        <v/>
      </c>
    </row>
    <row r="171" spans="1:235">
      <c r="A171" t="str">
        <f>IF(B171="","",step01标题尺码信息!$B$3)</f>
        <v/>
      </c>
      <c r="B171" t="str">
        <f>IF(step01标题尺码信息!G173="","",step01标题尺码信息!G173)</f>
        <v/>
      </c>
      <c r="C171" t="str">
        <f>IF(B171="","",step01标题尺码信息!$E$3)</f>
        <v/>
      </c>
      <c r="D171" t="str">
        <f t="shared" si="115"/>
        <v/>
      </c>
      <c r="E171" t="str">
        <f ca="1">IF(B171="","",VLOOKUP(B171,step01标题尺码信息!G:P,4,0))</f>
        <v/>
      </c>
      <c r="H171" t="str">
        <f>IF(B171="","",step01标题尺码信息!$R$19)</f>
        <v/>
      </c>
      <c r="I171" t="str">
        <f t="shared" si="116"/>
        <v/>
      </c>
      <c r="M171" t="str">
        <f t="shared" si="117"/>
        <v/>
      </c>
      <c r="U171" t="str">
        <f>IF(B171="","",step01标题尺码信息!$S$1)</f>
        <v/>
      </c>
      <c r="V171" t="str">
        <f t="shared" si="118"/>
        <v/>
      </c>
      <c r="W171" t="str">
        <f>IF(B171="","",step01标题尺码信息!$V$1)</f>
        <v/>
      </c>
      <c r="X171" t="str">
        <f>IF(B171="","",step01标题尺码信息!$V$2)</f>
        <v/>
      </c>
      <c r="Y171" t="str">
        <f t="shared" si="119"/>
        <v/>
      </c>
      <c r="Z171" t="str">
        <f t="shared" si="120"/>
        <v/>
      </c>
      <c r="AA171" t="str">
        <f ca="1">IF(B171="","",IF(CB171="Parent","",VLOOKUP(B171,step01标题尺码信息!G:P,9,0)))</f>
        <v/>
      </c>
      <c r="AG171" t="str">
        <f t="shared" si="134"/>
        <v/>
      </c>
      <c r="AH171" t="str">
        <f t="shared" si="135"/>
        <v/>
      </c>
      <c r="AI171" t="str">
        <f ca="1">IF(OR(B171="",VLOOKUP(BH171,step02图片链接!B:E,4,0)=""),"",VLOOKUP(BH171,step02图片链接!B:E,4,0))</f>
        <v/>
      </c>
      <c r="AJ171" t="str">
        <f ca="1">IF(OR(B171="",VLOOKUP(BH171,step02图片链接!B:G,6,0)=""),"",VLOOKUP(BH171,step02图片链接!B:G,6,0))</f>
        <v/>
      </c>
      <c r="AK171" t="str">
        <f ca="1">IF(OR(B171="",VLOOKUP(BH171,step02图片链接!B:H,7,0)=""),"",VLOOKUP(BH171,step02图片链接!B:H,7,0))</f>
        <v/>
      </c>
      <c r="AL171" t="str">
        <f ca="1">IF(OR(B171="",VLOOKUP(BH171,step02图片链接!B:I,8,0)=""),"",VLOOKUP(BH171,step02图片链接!B:I,8,0))</f>
        <v/>
      </c>
      <c r="AM171" t="str">
        <f ca="1">IF(OR(B171="",VLOOKUP(BH171,step02图片链接!B:J,9,0)=""),"",VLOOKUP(BH171,step02图片链接!B:J,9,0))</f>
        <v/>
      </c>
      <c r="AN171" t="str">
        <f ca="1">IF(OR(B171="",VLOOKUP(BH171,step02图片链接!B:K,10,0)=""),"",VLOOKUP(BH171,step02图片链接!B:K,10,0))</f>
        <v/>
      </c>
      <c r="AO171" t="str">
        <f ca="1">IF(OR(B171="",VLOOKUP(BH171,step02图片链接!B:L,11,0)=""),"",VLOOKUP(BH171,step02图片链接!B:L,11,0))</f>
        <v/>
      </c>
      <c r="AP171" t="str">
        <f ca="1">IF(OR(B171="",VLOOKUP(BH171,step02图片链接!B:M,12,0)=""),"",VLOOKUP(BH171,step02图片链接!B:M,12,0))</f>
        <v/>
      </c>
      <c r="AQ171" t="str">
        <f ca="1">IF(OR(B171="",VLOOKUP(BH171,step02图片链接!B:N,13,0)=""),"",VLOOKUP(BH171,step02图片链接!B:N,13,0))</f>
        <v/>
      </c>
      <c r="AS171" t="str">
        <f t="shared" si="136"/>
        <v/>
      </c>
      <c r="AT171" t="str">
        <f t="shared" si="137"/>
        <v/>
      </c>
      <c r="AU171" t="str">
        <f t="shared" si="121"/>
        <v/>
      </c>
      <c r="AV171" t="str">
        <f>IF(B171="","",step01标题尺码信息!$T$36)</f>
        <v/>
      </c>
      <c r="AZ171" t="str">
        <f>IF(B171="","",step01标题尺码信息!$S$41)</f>
        <v/>
      </c>
      <c r="BA171" t="str">
        <f>IF(B171="","",step01标题尺码信息!$S$43)</f>
        <v/>
      </c>
      <c r="BB171" t="str">
        <f>IF(B171="","",step01标题尺码信息!$S$45)</f>
        <v/>
      </c>
      <c r="BC171" t="str">
        <f>IF(B171="","",step01标题尺码信息!$S$47)</f>
        <v/>
      </c>
      <c r="BD171" t="str">
        <f>IF(B171="","",step01标题尺码信息!$S$49)</f>
        <v/>
      </c>
      <c r="BE171" t="str">
        <f>IF(B171="","",step01标题尺码信息!$S$53)</f>
        <v/>
      </c>
      <c r="BH171" t="str">
        <f ca="1">IF(B171="","",IF(DX171="Parent","",VLOOKUP(B171,step01标题尺码信息!G:P,7,0)))</f>
        <v/>
      </c>
      <c r="BI171" t="str">
        <f ca="1">IF(B171="","",IF(DX171="Parent","",VLOOKUP(B171,step01标题尺码信息!G:P,8,0)))</f>
        <v/>
      </c>
      <c r="BK171" t="str">
        <f t="shared" si="122"/>
        <v/>
      </c>
      <c r="BL171" t="str">
        <f t="shared" si="123"/>
        <v/>
      </c>
      <c r="BO171" t="str">
        <f t="shared" si="124"/>
        <v/>
      </c>
      <c r="BR171" t="str">
        <f ca="1">IF(B171="","",IF(AS171="Parent","",VLOOKUP(B171,step01标题尺码信息!G:P,9,0)))</f>
        <v/>
      </c>
      <c r="CY171" t="str">
        <f t="shared" si="125"/>
        <v/>
      </c>
      <c r="DG171" t="str">
        <f>IF(B171="","",step01标题尺码信息!$T$30)</f>
        <v/>
      </c>
      <c r="DH171" t="str">
        <f t="shared" si="126"/>
        <v/>
      </c>
      <c r="DN171" t="str">
        <f ca="1" t="shared" si="127"/>
        <v/>
      </c>
      <c r="DW171" t="str">
        <f t="shared" si="128"/>
        <v/>
      </c>
      <c r="ER171" t="str">
        <f>IF(B171="","",step01标题尺码信息!$T$37)</f>
        <v/>
      </c>
      <c r="ES171" t="str">
        <f t="shared" si="129"/>
        <v/>
      </c>
      <c r="HF171" t="str">
        <f>IF(B171="","",step01标题尺码信息!$S$2)</f>
        <v/>
      </c>
      <c r="HH171" t="str">
        <f t="shared" si="130"/>
        <v/>
      </c>
      <c r="HI171" t="str">
        <f t="shared" si="131"/>
        <v/>
      </c>
      <c r="HL171" t="str">
        <f t="shared" si="132"/>
        <v/>
      </c>
      <c r="IA171" t="str">
        <f t="shared" si="133"/>
        <v/>
      </c>
    </row>
    <row r="172" spans="1:235">
      <c r="A172" t="str">
        <f>IF(B172="","",step01标题尺码信息!$B$3)</f>
        <v/>
      </c>
      <c r="B172" t="str">
        <f>IF(step01标题尺码信息!G174="","",step01标题尺码信息!G174)</f>
        <v/>
      </c>
      <c r="C172" t="str">
        <f>IF(B172="","",step01标题尺码信息!$E$3)</f>
        <v/>
      </c>
      <c r="D172" t="str">
        <f t="shared" si="115"/>
        <v/>
      </c>
      <c r="E172" t="str">
        <f ca="1">IF(B172="","",VLOOKUP(B172,step01标题尺码信息!G:P,4,0))</f>
        <v/>
      </c>
      <c r="H172" t="str">
        <f>IF(B172="","",step01标题尺码信息!$R$19)</f>
        <v/>
      </c>
      <c r="I172" t="str">
        <f t="shared" si="116"/>
        <v/>
      </c>
      <c r="M172" t="str">
        <f t="shared" si="117"/>
        <v/>
      </c>
      <c r="U172" t="str">
        <f>IF(B172="","",step01标题尺码信息!$S$1)</f>
        <v/>
      </c>
      <c r="V172" t="str">
        <f t="shared" si="118"/>
        <v/>
      </c>
      <c r="W172" t="str">
        <f>IF(B172="","",step01标题尺码信息!$V$1)</f>
        <v/>
      </c>
      <c r="X172" t="str">
        <f>IF(B172="","",step01标题尺码信息!$V$2)</f>
        <v/>
      </c>
      <c r="Y172" t="str">
        <f t="shared" si="119"/>
        <v/>
      </c>
      <c r="Z172" t="str">
        <f t="shared" si="120"/>
        <v/>
      </c>
      <c r="AA172" t="str">
        <f ca="1">IF(B172="","",IF(CB172="Parent","",VLOOKUP(B172,step01标题尺码信息!G:P,9,0)))</f>
        <v/>
      </c>
      <c r="AG172" t="str">
        <f t="shared" si="134"/>
        <v/>
      </c>
      <c r="AH172" t="str">
        <f t="shared" si="135"/>
        <v/>
      </c>
      <c r="AI172" t="str">
        <f ca="1">IF(OR(B172="",VLOOKUP(BH172,step02图片链接!B:E,4,0)=""),"",VLOOKUP(BH172,step02图片链接!B:E,4,0))</f>
        <v/>
      </c>
      <c r="AJ172" t="str">
        <f ca="1">IF(OR(B172="",VLOOKUP(BH172,step02图片链接!B:G,6,0)=""),"",VLOOKUP(BH172,step02图片链接!B:G,6,0))</f>
        <v/>
      </c>
      <c r="AK172" t="str">
        <f ca="1">IF(OR(B172="",VLOOKUP(BH172,step02图片链接!B:H,7,0)=""),"",VLOOKUP(BH172,step02图片链接!B:H,7,0))</f>
        <v/>
      </c>
      <c r="AL172" t="str">
        <f ca="1">IF(OR(B172="",VLOOKUP(BH172,step02图片链接!B:I,8,0)=""),"",VLOOKUP(BH172,step02图片链接!B:I,8,0))</f>
        <v/>
      </c>
      <c r="AM172" t="str">
        <f ca="1">IF(OR(B172="",VLOOKUP(BH172,step02图片链接!B:J,9,0)=""),"",VLOOKUP(BH172,step02图片链接!B:J,9,0))</f>
        <v/>
      </c>
      <c r="AN172" t="str">
        <f ca="1">IF(OR(B172="",VLOOKUP(BH172,step02图片链接!B:K,10,0)=""),"",VLOOKUP(BH172,step02图片链接!B:K,10,0))</f>
        <v/>
      </c>
      <c r="AO172" t="str">
        <f ca="1">IF(OR(B172="",VLOOKUP(BH172,step02图片链接!B:L,11,0)=""),"",VLOOKUP(BH172,step02图片链接!B:L,11,0))</f>
        <v/>
      </c>
      <c r="AP172" t="str">
        <f ca="1">IF(OR(B172="",VLOOKUP(BH172,step02图片链接!B:M,12,0)=""),"",VLOOKUP(BH172,step02图片链接!B:M,12,0))</f>
        <v/>
      </c>
      <c r="AQ172" t="str">
        <f ca="1">IF(OR(B172="",VLOOKUP(BH172,step02图片链接!B:N,13,0)=""),"",VLOOKUP(BH172,step02图片链接!B:N,13,0))</f>
        <v/>
      </c>
      <c r="AS172" t="str">
        <f t="shared" si="136"/>
        <v/>
      </c>
      <c r="AT172" t="str">
        <f t="shared" si="137"/>
        <v/>
      </c>
      <c r="AU172" t="str">
        <f t="shared" si="121"/>
        <v/>
      </c>
      <c r="AV172" t="str">
        <f>IF(B172="","",step01标题尺码信息!$T$36)</f>
        <v/>
      </c>
      <c r="AZ172" t="str">
        <f>IF(B172="","",step01标题尺码信息!$S$41)</f>
        <v/>
      </c>
      <c r="BA172" t="str">
        <f>IF(B172="","",step01标题尺码信息!$S$43)</f>
        <v/>
      </c>
      <c r="BB172" t="str">
        <f>IF(B172="","",step01标题尺码信息!$S$45)</f>
        <v/>
      </c>
      <c r="BC172" t="str">
        <f>IF(B172="","",step01标题尺码信息!$S$47)</f>
        <v/>
      </c>
      <c r="BD172" t="str">
        <f>IF(B172="","",step01标题尺码信息!$S$49)</f>
        <v/>
      </c>
      <c r="BE172" t="str">
        <f>IF(B172="","",step01标题尺码信息!$S$53)</f>
        <v/>
      </c>
      <c r="BH172" t="str">
        <f ca="1">IF(B172="","",IF(DX172="Parent","",VLOOKUP(B172,step01标题尺码信息!G:P,7,0)))</f>
        <v/>
      </c>
      <c r="BI172" t="str">
        <f ca="1">IF(B172="","",IF(DX172="Parent","",VLOOKUP(B172,step01标题尺码信息!G:P,8,0)))</f>
        <v/>
      </c>
      <c r="BK172" t="str">
        <f t="shared" si="122"/>
        <v/>
      </c>
      <c r="BL172" t="str">
        <f t="shared" si="123"/>
        <v/>
      </c>
      <c r="BO172" t="str">
        <f t="shared" si="124"/>
        <v/>
      </c>
      <c r="BR172" t="str">
        <f ca="1">IF(B172="","",IF(AS172="Parent","",VLOOKUP(B172,step01标题尺码信息!G:P,9,0)))</f>
        <v/>
      </c>
      <c r="CY172" t="str">
        <f t="shared" si="125"/>
        <v/>
      </c>
      <c r="DG172" t="str">
        <f>IF(B172="","",step01标题尺码信息!$T$30)</f>
        <v/>
      </c>
      <c r="DH172" t="str">
        <f t="shared" si="126"/>
        <v/>
      </c>
      <c r="DN172" t="str">
        <f ca="1" t="shared" si="127"/>
        <v/>
      </c>
      <c r="DW172" t="str">
        <f t="shared" si="128"/>
        <v/>
      </c>
      <c r="ER172" t="str">
        <f>IF(B172="","",step01标题尺码信息!$T$37)</f>
        <v/>
      </c>
      <c r="ES172" t="str">
        <f t="shared" si="129"/>
        <v/>
      </c>
      <c r="HF172" t="str">
        <f>IF(B172="","",step01标题尺码信息!$S$2)</f>
        <v/>
      </c>
      <c r="HH172" t="str">
        <f t="shared" si="130"/>
        <v/>
      </c>
      <c r="HI172" t="str">
        <f t="shared" si="131"/>
        <v/>
      </c>
      <c r="HL172" t="str">
        <f t="shared" si="132"/>
        <v/>
      </c>
      <c r="IA172" t="str">
        <f t="shared" si="133"/>
        <v/>
      </c>
    </row>
    <row r="173" spans="1:235">
      <c r="A173" t="str">
        <f>IF(B173="","",step01标题尺码信息!$B$3)</f>
        <v/>
      </c>
      <c r="B173" t="str">
        <f>IF(step01标题尺码信息!G175="","",step01标题尺码信息!G175)</f>
        <v/>
      </c>
      <c r="C173" t="str">
        <f>IF(B173="","",step01标题尺码信息!$E$3)</f>
        <v/>
      </c>
      <c r="D173" t="str">
        <f t="shared" si="115"/>
        <v/>
      </c>
      <c r="E173" t="str">
        <f ca="1">IF(B173="","",VLOOKUP(B173,step01标题尺码信息!G:P,4,0))</f>
        <v/>
      </c>
      <c r="H173" t="str">
        <f>IF(B173="","",step01标题尺码信息!$R$19)</f>
        <v/>
      </c>
      <c r="I173" t="str">
        <f t="shared" si="116"/>
        <v/>
      </c>
      <c r="M173" t="str">
        <f t="shared" si="117"/>
        <v/>
      </c>
      <c r="U173" t="str">
        <f>IF(B173="","",step01标题尺码信息!$S$1)</f>
        <v/>
      </c>
      <c r="V173" t="str">
        <f t="shared" si="118"/>
        <v/>
      </c>
      <c r="W173" t="str">
        <f>IF(B173="","",step01标题尺码信息!$V$1)</f>
        <v/>
      </c>
      <c r="X173" t="str">
        <f>IF(B173="","",step01标题尺码信息!$V$2)</f>
        <v/>
      </c>
      <c r="Y173" t="str">
        <f t="shared" si="119"/>
        <v/>
      </c>
      <c r="Z173" t="str">
        <f t="shared" si="120"/>
        <v/>
      </c>
      <c r="AA173" t="str">
        <f ca="1">IF(B173="","",IF(CB173="Parent","",VLOOKUP(B173,step01标题尺码信息!G:P,9,0)))</f>
        <v/>
      </c>
      <c r="AG173" t="str">
        <f t="shared" si="134"/>
        <v/>
      </c>
      <c r="AH173" t="str">
        <f t="shared" si="135"/>
        <v/>
      </c>
      <c r="AI173" t="str">
        <f ca="1">IF(OR(B173="",VLOOKUP(BH173,step02图片链接!B:E,4,0)=""),"",VLOOKUP(BH173,step02图片链接!B:E,4,0))</f>
        <v/>
      </c>
      <c r="AJ173" t="str">
        <f ca="1">IF(OR(B173="",VLOOKUP(BH173,step02图片链接!B:G,6,0)=""),"",VLOOKUP(BH173,step02图片链接!B:G,6,0))</f>
        <v/>
      </c>
      <c r="AK173" t="str">
        <f ca="1">IF(OR(B173="",VLOOKUP(BH173,step02图片链接!B:H,7,0)=""),"",VLOOKUP(BH173,step02图片链接!B:H,7,0))</f>
        <v/>
      </c>
      <c r="AL173" t="str">
        <f ca="1">IF(OR(B173="",VLOOKUP(BH173,step02图片链接!B:I,8,0)=""),"",VLOOKUP(BH173,step02图片链接!B:I,8,0))</f>
        <v/>
      </c>
      <c r="AM173" t="str">
        <f ca="1">IF(OR(B173="",VLOOKUP(BH173,step02图片链接!B:J,9,0)=""),"",VLOOKUP(BH173,step02图片链接!B:J,9,0))</f>
        <v/>
      </c>
      <c r="AN173" t="str">
        <f ca="1">IF(OR(B173="",VLOOKUP(BH173,step02图片链接!B:K,10,0)=""),"",VLOOKUP(BH173,step02图片链接!B:K,10,0))</f>
        <v/>
      </c>
      <c r="AO173" t="str">
        <f ca="1">IF(OR(B173="",VLOOKUP(BH173,step02图片链接!B:L,11,0)=""),"",VLOOKUP(BH173,step02图片链接!B:L,11,0))</f>
        <v/>
      </c>
      <c r="AP173" t="str">
        <f ca="1">IF(OR(B173="",VLOOKUP(BH173,step02图片链接!B:M,12,0)=""),"",VLOOKUP(BH173,step02图片链接!B:M,12,0))</f>
        <v/>
      </c>
      <c r="AQ173" t="str">
        <f ca="1">IF(OR(B173="",VLOOKUP(BH173,step02图片链接!B:N,13,0)=""),"",VLOOKUP(BH173,step02图片链接!B:N,13,0))</f>
        <v/>
      </c>
      <c r="AS173" t="str">
        <f t="shared" si="136"/>
        <v/>
      </c>
      <c r="AT173" t="str">
        <f t="shared" si="137"/>
        <v/>
      </c>
      <c r="AU173" t="str">
        <f t="shared" si="121"/>
        <v/>
      </c>
      <c r="AV173" t="str">
        <f>IF(B173="","",step01标题尺码信息!$T$36)</f>
        <v/>
      </c>
      <c r="AZ173" t="str">
        <f>IF(B173="","",step01标题尺码信息!$S$41)</f>
        <v/>
      </c>
      <c r="BA173" t="str">
        <f>IF(B173="","",step01标题尺码信息!$S$43)</f>
        <v/>
      </c>
      <c r="BB173" t="str">
        <f>IF(B173="","",step01标题尺码信息!$S$45)</f>
        <v/>
      </c>
      <c r="BC173" t="str">
        <f>IF(B173="","",step01标题尺码信息!$S$47)</f>
        <v/>
      </c>
      <c r="BD173" t="str">
        <f>IF(B173="","",step01标题尺码信息!$S$49)</f>
        <v/>
      </c>
      <c r="BE173" t="str">
        <f>IF(B173="","",step01标题尺码信息!$S$53)</f>
        <v/>
      </c>
      <c r="BH173" t="str">
        <f ca="1">IF(B173="","",IF(DX173="Parent","",VLOOKUP(B173,step01标题尺码信息!G:P,7,0)))</f>
        <v/>
      </c>
      <c r="BI173" t="str">
        <f ca="1">IF(B173="","",IF(DX173="Parent","",VLOOKUP(B173,step01标题尺码信息!G:P,8,0)))</f>
        <v/>
      </c>
      <c r="BK173" t="str">
        <f t="shared" si="122"/>
        <v/>
      </c>
      <c r="BL173" t="str">
        <f t="shared" si="123"/>
        <v/>
      </c>
      <c r="BO173" t="str">
        <f t="shared" si="124"/>
        <v/>
      </c>
      <c r="BR173" t="str">
        <f ca="1">IF(B173="","",IF(AS173="Parent","",VLOOKUP(B173,step01标题尺码信息!G:P,9,0)))</f>
        <v/>
      </c>
      <c r="CY173" t="str">
        <f t="shared" si="125"/>
        <v/>
      </c>
      <c r="DG173" t="str">
        <f>IF(B173="","",step01标题尺码信息!$T$30)</f>
        <v/>
      </c>
      <c r="DH173" t="str">
        <f t="shared" si="126"/>
        <v/>
      </c>
      <c r="DN173" t="str">
        <f ca="1" t="shared" si="127"/>
        <v/>
      </c>
      <c r="DW173" t="str">
        <f t="shared" si="128"/>
        <v/>
      </c>
      <c r="ER173" t="str">
        <f>IF(B173="","",step01标题尺码信息!$T$37)</f>
        <v/>
      </c>
      <c r="ES173" t="str">
        <f t="shared" si="129"/>
        <v/>
      </c>
      <c r="HF173" t="str">
        <f>IF(B173="","",step01标题尺码信息!$S$2)</f>
        <v/>
      </c>
      <c r="HH173" t="str">
        <f t="shared" si="130"/>
        <v/>
      </c>
      <c r="HI173" t="str">
        <f t="shared" si="131"/>
        <v/>
      </c>
      <c r="HL173" t="str">
        <f t="shared" si="132"/>
        <v/>
      </c>
      <c r="IA173" t="str">
        <f t="shared" si="133"/>
        <v/>
      </c>
    </row>
    <row r="174" spans="1:235">
      <c r="A174" t="str">
        <f>IF(B174="","",step01标题尺码信息!$B$3)</f>
        <v/>
      </c>
      <c r="B174" t="str">
        <f>IF(step01标题尺码信息!G176="","",step01标题尺码信息!G176)</f>
        <v/>
      </c>
      <c r="C174" t="str">
        <f>IF(B174="","",step01标题尺码信息!$E$3)</f>
        <v/>
      </c>
      <c r="D174" t="str">
        <f t="shared" si="115"/>
        <v/>
      </c>
      <c r="E174" t="str">
        <f ca="1">IF(B174="","",VLOOKUP(B174,step01标题尺码信息!G:P,4,0))</f>
        <v/>
      </c>
      <c r="H174" t="str">
        <f>IF(B174="","",step01标题尺码信息!$R$19)</f>
        <v/>
      </c>
      <c r="I174" t="str">
        <f t="shared" si="116"/>
        <v/>
      </c>
      <c r="M174" t="str">
        <f t="shared" si="117"/>
        <v/>
      </c>
      <c r="U174" t="str">
        <f>IF(B174="","",step01标题尺码信息!$S$1)</f>
        <v/>
      </c>
      <c r="V174" t="str">
        <f t="shared" si="118"/>
        <v/>
      </c>
      <c r="W174" t="str">
        <f>IF(B174="","",step01标题尺码信息!$V$1)</f>
        <v/>
      </c>
      <c r="X174" t="str">
        <f>IF(B174="","",step01标题尺码信息!$V$2)</f>
        <v/>
      </c>
      <c r="Y174" t="str">
        <f t="shared" si="119"/>
        <v/>
      </c>
      <c r="Z174" t="str">
        <f t="shared" si="120"/>
        <v/>
      </c>
      <c r="AA174" t="str">
        <f ca="1">IF(B174="","",IF(CB174="Parent","",VLOOKUP(B174,step01标题尺码信息!G:P,9,0)))</f>
        <v/>
      </c>
      <c r="AG174" t="str">
        <f t="shared" si="134"/>
        <v/>
      </c>
      <c r="AH174" t="str">
        <f t="shared" si="135"/>
        <v/>
      </c>
      <c r="AI174" t="str">
        <f ca="1">IF(OR(B174="",VLOOKUP(BH174,step02图片链接!B:E,4,0)=""),"",VLOOKUP(BH174,step02图片链接!B:E,4,0))</f>
        <v/>
      </c>
      <c r="AJ174" t="str">
        <f ca="1">IF(OR(B174="",VLOOKUP(BH174,step02图片链接!B:G,6,0)=""),"",VLOOKUP(BH174,step02图片链接!B:G,6,0))</f>
        <v/>
      </c>
      <c r="AK174" t="str">
        <f ca="1">IF(OR(B174="",VLOOKUP(BH174,step02图片链接!B:H,7,0)=""),"",VLOOKUP(BH174,step02图片链接!B:H,7,0))</f>
        <v/>
      </c>
      <c r="AL174" t="str">
        <f ca="1">IF(OR(B174="",VLOOKUP(BH174,step02图片链接!B:I,8,0)=""),"",VLOOKUP(BH174,step02图片链接!B:I,8,0))</f>
        <v/>
      </c>
      <c r="AM174" t="str">
        <f ca="1">IF(OR(B174="",VLOOKUP(BH174,step02图片链接!B:J,9,0)=""),"",VLOOKUP(BH174,step02图片链接!B:J,9,0))</f>
        <v/>
      </c>
      <c r="AN174" t="str">
        <f ca="1">IF(OR(B174="",VLOOKUP(BH174,step02图片链接!B:K,10,0)=""),"",VLOOKUP(BH174,step02图片链接!B:K,10,0))</f>
        <v/>
      </c>
      <c r="AO174" t="str">
        <f ca="1">IF(OR(B174="",VLOOKUP(BH174,step02图片链接!B:L,11,0)=""),"",VLOOKUP(BH174,step02图片链接!B:L,11,0))</f>
        <v/>
      </c>
      <c r="AP174" t="str">
        <f ca="1">IF(OR(B174="",VLOOKUP(BH174,step02图片链接!B:M,12,0)=""),"",VLOOKUP(BH174,step02图片链接!B:M,12,0))</f>
        <v/>
      </c>
      <c r="AQ174" t="str">
        <f ca="1">IF(OR(B174="",VLOOKUP(BH174,step02图片链接!B:N,13,0)=""),"",VLOOKUP(BH174,step02图片链接!B:N,13,0))</f>
        <v/>
      </c>
      <c r="AS174" t="str">
        <f t="shared" si="136"/>
        <v/>
      </c>
      <c r="AT174" t="str">
        <f t="shared" si="137"/>
        <v/>
      </c>
      <c r="AU174" t="str">
        <f t="shared" si="121"/>
        <v/>
      </c>
      <c r="AV174" t="str">
        <f>IF(B174="","",step01标题尺码信息!$T$36)</f>
        <v/>
      </c>
      <c r="AZ174" t="str">
        <f>IF(B174="","",step01标题尺码信息!$S$41)</f>
        <v/>
      </c>
      <c r="BA174" t="str">
        <f>IF(B174="","",step01标题尺码信息!$S$43)</f>
        <v/>
      </c>
      <c r="BB174" t="str">
        <f>IF(B174="","",step01标题尺码信息!$S$45)</f>
        <v/>
      </c>
      <c r="BC174" t="str">
        <f>IF(B174="","",step01标题尺码信息!$S$47)</f>
        <v/>
      </c>
      <c r="BD174" t="str">
        <f>IF(B174="","",step01标题尺码信息!$S$49)</f>
        <v/>
      </c>
      <c r="BE174" t="str">
        <f>IF(B174="","",step01标题尺码信息!$S$53)</f>
        <v/>
      </c>
      <c r="BH174" t="str">
        <f ca="1">IF(B174="","",IF(DX174="Parent","",VLOOKUP(B174,step01标题尺码信息!G:P,7,0)))</f>
        <v/>
      </c>
      <c r="BI174" t="str">
        <f ca="1">IF(B174="","",IF(DX174="Parent","",VLOOKUP(B174,step01标题尺码信息!G:P,8,0)))</f>
        <v/>
      </c>
      <c r="BK174" t="str">
        <f t="shared" si="122"/>
        <v/>
      </c>
      <c r="BL174" t="str">
        <f t="shared" si="123"/>
        <v/>
      </c>
      <c r="BO174" t="str">
        <f t="shared" si="124"/>
        <v/>
      </c>
      <c r="BR174" t="str">
        <f ca="1">IF(B174="","",IF(AS174="Parent","",VLOOKUP(B174,step01标题尺码信息!G:P,9,0)))</f>
        <v/>
      </c>
      <c r="CY174" t="str">
        <f t="shared" si="125"/>
        <v/>
      </c>
      <c r="DG174" t="str">
        <f>IF(B174="","",step01标题尺码信息!$T$30)</f>
        <v/>
      </c>
      <c r="DH174" t="str">
        <f t="shared" si="126"/>
        <v/>
      </c>
      <c r="DN174" t="str">
        <f ca="1" t="shared" si="127"/>
        <v/>
      </c>
      <c r="DW174" t="str">
        <f t="shared" si="128"/>
        <v/>
      </c>
      <c r="ER174" t="str">
        <f>IF(B174="","",step01标题尺码信息!$T$37)</f>
        <v/>
      </c>
      <c r="ES174" t="str">
        <f t="shared" si="129"/>
        <v/>
      </c>
      <c r="HF174" t="str">
        <f>IF(B174="","",step01标题尺码信息!$S$2)</f>
        <v/>
      </c>
      <c r="HH174" t="str">
        <f t="shared" si="130"/>
        <v/>
      </c>
      <c r="HI174" t="str">
        <f t="shared" si="131"/>
        <v/>
      </c>
      <c r="HL174" t="str">
        <f t="shared" si="132"/>
        <v/>
      </c>
      <c r="IA174" t="str">
        <f t="shared" si="133"/>
        <v/>
      </c>
    </row>
    <row r="175" spans="1:235">
      <c r="A175" t="str">
        <f>IF(B175="","",step01标题尺码信息!$B$3)</f>
        <v/>
      </c>
      <c r="B175" t="str">
        <f>IF(step01标题尺码信息!G177="","",step01标题尺码信息!G177)</f>
        <v/>
      </c>
      <c r="C175" t="str">
        <f>IF(B175="","",step01标题尺码信息!$E$3)</f>
        <v/>
      </c>
      <c r="D175" t="str">
        <f t="shared" si="115"/>
        <v/>
      </c>
      <c r="E175" t="str">
        <f ca="1">IF(B175="","",VLOOKUP(B175,step01标题尺码信息!G:P,4,0))</f>
        <v/>
      </c>
      <c r="H175" t="str">
        <f>IF(B175="","",step01标题尺码信息!$R$19)</f>
        <v/>
      </c>
      <c r="I175" t="str">
        <f t="shared" si="116"/>
        <v/>
      </c>
      <c r="M175" t="str">
        <f t="shared" si="117"/>
        <v/>
      </c>
      <c r="U175" t="str">
        <f>IF(B175="","",step01标题尺码信息!$S$1)</f>
        <v/>
      </c>
      <c r="V175" t="str">
        <f t="shared" si="118"/>
        <v/>
      </c>
      <c r="W175" t="str">
        <f>IF(B175="","",step01标题尺码信息!$V$1)</f>
        <v/>
      </c>
      <c r="X175" t="str">
        <f>IF(B175="","",step01标题尺码信息!$V$2)</f>
        <v/>
      </c>
      <c r="Y175" t="str">
        <f t="shared" si="119"/>
        <v/>
      </c>
      <c r="Z175" t="str">
        <f t="shared" si="120"/>
        <v/>
      </c>
      <c r="AA175" t="str">
        <f ca="1">IF(B175="","",IF(CB175="Parent","",VLOOKUP(B175,step01标题尺码信息!G:P,9,0)))</f>
        <v/>
      </c>
      <c r="AG175" t="str">
        <f t="shared" si="134"/>
        <v/>
      </c>
      <c r="AH175" t="str">
        <f t="shared" si="135"/>
        <v/>
      </c>
      <c r="AI175" t="str">
        <f ca="1">IF(OR(B175="",VLOOKUP(BH175,step02图片链接!B:E,4,0)=""),"",VLOOKUP(BH175,step02图片链接!B:E,4,0))</f>
        <v/>
      </c>
      <c r="AJ175" t="str">
        <f ca="1">IF(OR(B175="",VLOOKUP(BH175,step02图片链接!B:G,6,0)=""),"",VLOOKUP(BH175,step02图片链接!B:G,6,0))</f>
        <v/>
      </c>
      <c r="AK175" t="str">
        <f ca="1">IF(OR(B175="",VLOOKUP(BH175,step02图片链接!B:H,7,0)=""),"",VLOOKUP(BH175,step02图片链接!B:H,7,0))</f>
        <v/>
      </c>
      <c r="AL175" t="str">
        <f ca="1">IF(OR(B175="",VLOOKUP(BH175,step02图片链接!B:I,8,0)=""),"",VLOOKUP(BH175,step02图片链接!B:I,8,0))</f>
        <v/>
      </c>
      <c r="AM175" t="str">
        <f ca="1">IF(OR(B175="",VLOOKUP(BH175,step02图片链接!B:J,9,0)=""),"",VLOOKUP(BH175,step02图片链接!B:J,9,0))</f>
        <v/>
      </c>
      <c r="AN175" t="str">
        <f ca="1">IF(OR(B175="",VLOOKUP(BH175,step02图片链接!B:K,10,0)=""),"",VLOOKUP(BH175,step02图片链接!B:K,10,0))</f>
        <v/>
      </c>
      <c r="AO175" t="str">
        <f ca="1">IF(OR(B175="",VLOOKUP(BH175,step02图片链接!B:L,11,0)=""),"",VLOOKUP(BH175,step02图片链接!B:L,11,0))</f>
        <v/>
      </c>
      <c r="AP175" t="str">
        <f ca="1">IF(OR(B175="",VLOOKUP(BH175,step02图片链接!B:M,12,0)=""),"",VLOOKUP(BH175,step02图片链接!B:M,12,0))</f>
        <v/>
      </c>
      <c r="AQ175" t="str">
        <f ca="1">IF(OR(B175="",VLOOKUP(BH175,step02图片链接!B:N,13,0)=""),"",VLOOKUP(BH175,step02图片链接!B:N,13,0))</f>
        <v/>
      </c>
      <c r="AS175" t="str">
        <f t="shared" si="136"/>
        <v/>
      </c>
      <c r="AT175" t="str">
        <f t="shared" si="137"/>
        <v/>
      </c>
      <c r="AU175" t="str">
        <f t="shared" si="121"/>
        <v/>
      </c>
      <c r="AV175" t="str">
        <f>IF(B175="","",step01标题尺码信息!$T$36)</f>
        <v/>
      </c>
      <c r="AZ175" t="str">
        <f>IF(B175="","",step01标题尺码信息!$S$41)</f>
        <v/>
      </c>
      <c r="BA175" t="str">
        <f>IF(B175="","",step01标题尺码信息!$S$43)</f>
        <v/>
      </c>
      <c r="BB175" t="str">
        <f>IF(B175="","",step01标题尺码信息!$S$45)</f>
        <v/>
      </c>
      <c r="BC175" t="str">
        <f>IF(B175="","",step01标题尺码信息!$S$47)</f>
        <v/>
      </c>
      <c r="BD175" t="str">
        <f>IF(B175="","",step01标题尺码信息!$S$49)</f>
        <v/>
      </c>
      <c r="BE175" t="str">
        <f>IF(B175="","",step01标题尺码信息!$S$53)</f>
        <v/>
      </c>
      <c r="BH175" t="str">
        <f ca="1">IF(B175="","",IF(DX175="Parent","",VLOOKUP(B175,step01标题尺码信息!G:P,7,0)))</f>
        <v/>
      </c>
      <c r="BI175" t="str">
        <f ca="1">IF(B175="","",IF(DX175="Parent","",VLOOKUP(B175,step01标题尺码信息!G:P,8,0)))</f>
        <v/>
      </c>
      <c r="BK175" t="str">
        <f t="shared" si="122"/>
        <v/>
      </c>
      <c r="BL175" t="str">
        <f t="shared" si="123"/>
        <v/>
      </c>
      <c r="BO175" t="str">
        <f t="shared" si="124"/>
        <v/>
      </c>
      <c r="BR175" t="str">
        <f ca="1">IF(B175="","",IF(AS175="Parent","",VLOOKUP(B175,step01标题尺码信息!G:P,9,0)))</f>
        <v/>
      </c>
      <c r="CY175" t="str">
        <f t="shared" si="125"/>
        <v/>
      </c>
      <c r="DG175" t="str">
        <f>IF(B175="","",step01标题尺码信息!$T$30)</f>
        <v/>
      </c>
      <c r="DH175" t="str">
        <f t="shared" si="126"/>
        <v/>
      </c>
      <c r="DN175" t="str">
        <f ca="1" t="shared" si="127"/>
        <v/>
      </c>
      <c r="DW175" t="str">
        <f t="shared" si="128"/>
        <v/>
      </c>
      <c r="ER175" t="str">
        <f>IF(B175="","",step01标题尺码信息!$T$37)</f>
        <v/>
      </c>
      <c r="ES175" t="str">
        <f t="shared" si="129"/>
        <v/>
      </c>
      <c r="HF175" t="str">
        <f>IF(B175="","",step01标题尺码信息!$S$2)</f>
        <v/>
      </c>
      <c r="HH175" t="str">
        <f t="shared" si="130"/>
        <v/>
      </c>
      <c r="HI175" t="str">
        <f t="shared" si="131"/>
        <v/>
      </c>
      <c r="HL175" t="str">
        <f t="shared" si="132"/>
        <v/>
      </c>
      <c r="IA175" t="str">
        <f t="shared" si="133"/>
        <v/>
      </c>
    </row>
    <row r="176" spans="1:235">
      <c r="A176" t="str">
        <f>IF(B176="","",step01标题尺码信息!$B$3)</f>
        <v/>
      </c>
      <c r="B176" t="str">
        <f>IF(step01标题尺码信息!G178="","",step01标题尺码信息!G178)</f>
        <v/>
      </c>
      <c r="C176" t="str">
        <f>IF(B176="","",step01标题尺码信息!$E$3)</f>
        <v/>
      </c>
      <c r="D176" t="str">
        <f t="shared" si="115"/>
        <v/>
      </c>
      <c r="E176" t="str">
        <f ca="1">IF(B176="","",VLOOKUP(B176,step01标题尺码信息!G:P,4,0))</f>
        <v/>
      </c>
      <c r="H176" t="str">
        <f>IF(B176="","",step01标题尺码信息!$R$19)</f>
        <v/>
      </c>
      <c r="I176" t="str">
        <f t="shared" si="116"/>
        <v/>
      </c>
      <c r="M176" t="str">
        <f t="shared" si="117"/>
        <v/>
      </c>
      <c r="U176" t="str">
        <f>IF(B176="","",step01标题尺码信息!$S$1)</f>
        <v/>
      </c>
      <c r="V176" t="str">
        <f t="shared" si="118"/>
        <v/>
      </c>
      <c r="W176" t="str">
        <f>IF(B176="","",step01标题尺码信息!$V$1)</f>
        <v/>
      </c>
      <c r="X176" t="str">
        <f>IF(B176="","",step01标题尺码信息!$V$2)</f>
        <v/>
      </c>
      <c r="Y176" t="str">
        <f t="shared" si="119"/>
        <v/>
      </c>
      <c r="Z176" t="str">
        <f t="shared" si="120"/>
        <v/>
      </c>
      <c r="AA176" t="str">
        <f ca="1">IF(B176="","",IF(CB176="Parent","",VLOOKUP(B176,step01标题尺码信息!G:P,9,0)))</f>
        <v/>
      </c>
      <c r="AG176" t="str">
        <f t="shared" si="134"/>
        <v/>
      </c>
      <c r="AH176" t="str">
        <f t="shared" si="135"/>
        <v/>
      </c>
      <c r="AI176" t="str">
        <f ca="1">IF(OR(B176="",VLOOKUP(BH176,step02图片链接!B:E,4,0)=""),"",VLOOKUP(BH176,step02图片链接!B:E,4,0))</f>
        <v/>
      </c>
      <c r="AJ176" t="str">
        <f ca="1">IF(OR(B176="",VLOOKUP(BH176,step02图片链接!B:G,6,0)=""),"",VLOOKUP(BH176,step02图片链接!B:G,6,0))</f>
        <v/>
      </c>
      <c r="AK176" t="str">
        <f ca="1">IF(OR(B176="",VLOOKUP(BH176,step02图片链接!B:H,7,0)=""),"",VLOOKUP(BH176,step02图片链接!B:H,7,0))</f>
        <v/>
      </c>
      <c r="AL176" t="str">
        <f ca="1">IF(OR(B176="",VLOOKUP(BH176,step02图片链接!B:I,8,0)=""),"",VLOOKUP(BH176,step02图片链接!B:I,8,0))</f>
        <v/>
      </c>
      <c r="AM176" t="str">
        <f ca="1">IF(OR(B176="",VLOOKUP(BH176,step02图片链接!B:J,9,0)=""),"",VLOOKUP(BH176,step02图片链接!B:J,9,0))</f>
        <v/>
      </c>
      <c r="AN176" t="str">
        <f ca="1">IF(OR(B176="",VLOOKUP(BH176,step02图片链接!B:K,10,0)=""),"",VLOOKUP(BH176,step02图片链接!B:K,10,0))</f>
        <v/>
      </c>
      <c r="AO176" t="str">
        <f ca="1">IF(OR(B176="",VLOOKUP(BH176,step02图片链接!B:L,11,0)=""),"",VLOOKUP(BH176,step02图片链接!B:L,11,0))</f>
        <v/>
      </c>
      <c r="AP176" t="str">
        <f ca="1">IF(OR(B176="",VLOOKUP(BH176,step02图片链接!B:M,12,0)=""),"",VLOOKUP(BH176,step02图片链接!B:M,12,0))</f>
        <v/>
      </c>
      <c r="AQ176" t="str">
        <f ca="1">IF(OR(B176="",VLOOKUP(BH176,step02图片链接!B:N,13,0)=""),"",VLOOKUP(BH176,step02图片链接!B:N,13,0))</f>
        <v/>
      </c>
      <c r="AS176" t="str">
        <f t="shared" si="136"/>
        <v/>
      </c>
      <c r="AT176" t="str">
        <f t="shared" si="137"/>
        <v/>
      </c>
      <c r="AU176" t="str">
        <f t="shared" si="121"/>
        <v/>
      </c>
      <c r="AV176" t="str">
        <f>IF(B176="","",step01标题尺码信息!$T$36)</f>
        <v/>
      </c>
      <c r="AZ176" t="str">
        <f>IF(B176="","",step01标题尺码信息!$S$41)</f>
        <v/>
      </c>
      <c r="BA176" t="str">
        <f>IF(B176="","",step01标题尺码信息!$S$43)</f>
        <v/>
      </c>
      <c r="BB176" t="str">
        <f>IF(B176="","",step01标题尺码信息!$S$45)</f>
        <v/>
      </c>
      <c r="BC176" t="str">
        <f>IF(B176="","",step01标题尺码信息!$S$47)</f>
        <v/>
      </c>
      <c r="BD176" t="str">
        <f>IF(B176="","",step01标题尺码信息!$S$49)</f>
        <v/>
      </c>
      <c r="BE176" t="str">
        <f>IF(B176="","",step01标题尺码信息!$S$53)</f>
        <v/>
      </c>
      <c r="BH176" t="str">
        <f ca="1">IF(B176="","",IF(DX176="Parent","",VLOOKUP(B176,step01标题尺码信息!G:P,7,0)))</f>
        <v/>
      </c>
      <c r="BI176" t="str">
        <f ca="1">IF(B176="","",IF(DX176="Parent","",VLOOKUP(B176,step01标题尺码信息!G:P,8,0)))</f>
        <v/>
      </c>
      <c r="BK176" t="str">
        <f t="shared" si="122"/>
        <v/>
      </c>
      <c r="BL176" t="str">
        <f t="shared" si="123"/>
        <v/>
      </c>
      <c r="BO176" t="str">
        <f t="shared" si="124"/>
        <v/>
      </c>
      <c r="BR176" t="str">
        <f ca="1">IF(B176="","",IF(AS176="Parent","",VLOOKUP(B176,step01标题尺码信息!G:P,9,0)))</f>
        <v/>
      </c>
      <c r="CY176" t="str">
        <f t="shared" si="125"/>
        <v/>
      </c>
      <c r="DG176" t="str">
        <f>IF(B176="","",step01标题尺码信息!$T$30)</f>
        <v/>
      </c>
      <c r="DH176" t="str">
        <f t="shared" si="126"/>
        <v/>
      </c>
      <c r="DN176" t="str">
        <f ca="1" t="shared" si="127"/>
        <v/>
      </c>
      <c r="DW176" t="str">
        <f t="shared" si="128"/>
        <v/>
      </c>
      <c r="ER176" t="str">
        <f>IF(B176="","",step01标题尺码信息!$T$37)</f>
        <v/>
      </c>
      <c r="ES176" t="str">
        <f t="shared" si="129"/>
        <v/>
      </c>
      <c r="HF176" t="str">
        <f>IF(B176="","",step01标题尺码信息!$S$2)</f>
        <v/>
      </c>
      <c r="HH176" t="str">
        <f t="shared" si="130"/>
        <v/>
      </c>
      <c r="HI176" t="str">
        <f t="shared" si="131"/>
        <v/>
      </c>
      <c r="HL176" t="str">
        <f t="shared" si="132"/>
        <v/>
      </c>
      <c r="IA176" t="str">
        <f t="shared" si="133"/>
        <v/>
      </c>
    </row>
    <row r="177" spans="1:235">
      <c r="A177" t="str">
        <f>IF(B177="","",step01标题尺码信息!$B$3)</f>
        <v/>
      </c>
      <c r="B177" t="str">
        <f>IF(step01标题尺码信息!G179="","",step01标题尺码信息!G179)</f>
        <v/>
      </c>
      <c r="C177" t="str">
        <f>IF(B177="","",step01标题尺码信息!$E$3)</f>
        <v/>
      </c>
      <c r="D177" t="str">
        <f t="shared" si="115"/>
        <v/>
      </c>
      <c r="E177" t="str">
        <f ca="1">IF(B177="","",VLOOKUP(B177,step01标题尺码信息!G:P,4,0))</f>
        <v/>
      </c>
      <c r="H177" t="str">
        <f>IF(B177="","",step01标题尺码信息!$R$19)</f>
        <v/>
      </c>
      <c r="I177" t="str">
        <f t="shared" si="116"/>
        <v/>
      </c>
      <c r="M177" t="str">
        <f t="shared" si="117"/>
        <v/>
      </c>
      <c r="U177" t="str">
        <f>IF(B177="","",step01标题尺码信息!$S$1)</f>
        <v/>
      </c>
      <c r="V177" t="str">
        <f t="shared" si="118"/>
        <v/>
      </c>
      <c r="W177" t="str">
        <f>IF(B177="","",step01标题尺码信息!$V$1)</f>
        <v/>
      </c>
      <c r="X177" t="str">
        <f>IF(B177="","",step01标题尺码信息!$V$2)</f>
        <v/>
      </c>
      <c r="Y177" t="str">
        <f t="shared" si="119"/>
        <v/>
      </c>
      <c r="Z177" t="str">
        <f t="shared" si="120"/>
        <v/>
      </c>
      <c r="AA177" t="str">
        <f ca="1">IF(B177="","",IF(CB177="Parent","",VLOOKUP(B177,step01标题尺码信息!G:P,9,0)))</f>
        <v/>
      </c>
      <c r="AG177" t="str">
        <f t="shared" si="134"/>
        <v/>
      </c>
      <c r="AH177" t="str">
        <f t="shared" si="135"/>
        <v/>
      </c>
      <c r="AI177" t="str">
        <f ca="1">IF(OR(B177="",VLOOKUP(BH177,step02图片链接!B:E,4,0)=""),"",VLOOKUP(BH177,step02图片链接!B:E,4,0))</f>
        <v/>
      </c>
      <c r="AJ177" t="str">
        <f ca="1">IF(OR(B177="",VLOOKUP(BH177,step02图片链接!B:G,6,0)=""),"",VLOOKUP(BH177,step02图片链接!B:G,6,0))</f>
        <v/>
      </c>
      <c r="AK177" t="str">
        <f ca="1">IF(OR(B177="",VLOOKUP(BH177,step02图片链接!B:H,7,0)=""),"",VLOOKUP(BH177,step02图片链接!B:H,7,0))</f>
        <v/>
      </c>
      <c r="AL177" t="str">
        <f ca="1">IF(OR(B177="",VLOOKUP(BH177,step02图片链接!B:I,8,0)=""),"",VLOOKUP(BH177,step02图片链接!B:I,8,0))</f>
        <v/>
      </c>
      <c r="AM177" t="str">
        <f ca="1">IF(OR(B177="",VLOOKUP(BH177,step02图片链接!B:J,9,0)=""),"",VLOOKUP(BH177,step02图片链接!B:J,9,0))</f>
        <v/>
      </c>
      <c r="AN177" t="str">
        <f ca="1">IF(OR(B177="",VLOOKUP(BH177,step02图片链接!B:K,10,0)=""),"",VLOOKUP(BH177,step02图片链接!B:K,10,0))</f>
        <v/>
      </c>
      <c r="AO177" t="str">
        <f ca="1">IF(OR(B177="",VLOOKUP(BH177,step02图片链接!B:L,11,0)=""),"",VLOOKUP(BH177,step02图片链接!B:L,11,0))</f>
        <v/>
      </c>
      <c r="AP177" t="str">
        <f ca="1">IF(OR(B177="",VLOOKUP(BH177,step02图片链接!B:M,12,0)=""),"",VLOOKUP(BH177,step02图片链接!B:M,12,0))</f>
        <v/>
      </c>
      <c r="AQ177" t="str">
        <f ca="1">IF(OR(B177="",VLOOKUP(BH177,step02图片链接!B:N,13,0)=""),"",VLOOKUP(BH177,step02图片链接!B:N,13,0))</f>
        <v/>
      </c>
      <c r="AS177" t="str">
        <f t="shared" si="136"/>
        <v/>
      </c>
      <c r="AT177" t="str">
        <f t="shared" si="137"/>
        <v/>
      </c>
      <c r="AU177" t="str">
        <f t="shared" si="121"/>
        <v/>
      </c>
      <c r="AV177" t="str">
        <f>IF(B177="","",step01标题尺码信息!$T$36)</f>
        <v/>
      </c>
      <c r="AZ177" t="str">
        <f>IF(B177="","",step01标题尺码信息!$S$41)</f>
        <v/>
      </c>
      <c r="BA177" t="str">
        <f>IF(B177="","",step01标题尺码信息!$S$43)</f>
        <v/>
      </c>
      <c r="BB177" t="str">
        <f>IF(B177="","",step01标题尺码信息!$S$45)</f>
        <v/>
      </c>
      <c r="BC177" t="str">
        <f>IF(B177="","",step01标题尺码信息!$S$47)</f>
        <v/>
      </c>
      <c r="BD177" t="str">
        <f>IF(B177="","",step01标题尺码信息!$S$49)</f>
        <v/>
      </c>
      <c r="BE177" t="str">
        <f>IF(B177="","",step01标题尺码信息!$S$53)</f>
        <v/>
      </c>
      <c r="BH177" t="str">
        <f ca="1">IF(B177="","",IF(DX177="Parent","",VLOOKUP(B177,step01标题尺码信息!G:P,7,0)))</f>
        <v/>
      </c>
      <c r="BI177" t="str">
        <f ca="1">IF(B177="","",IF(DX177="Parent","",VLOOKUP(B177,step01标题尺码信息!G:P,8,0)))</f>
        <v/>
      </c>
      <c r="BK177" t="str">
        <f t="shared" si="122"/>
        <v/>
      </c>
      <c r="BL177" t="str">
        <f t="shared" si="123"/>
        <v/>
      </c>
      <c r="BO177" t="str">
        <f t="shared" si="124"/>
        <v/>
      </c>
      <c r="BR177" t="str">
        <f ca="1">IF(B177="","",IF(AS177="Parent","",VLOOKUP(B177,step01标题尺码信息!G:P,9,0)))</f>
        <v/>
      </c>
      <c r="CY177" t="str">
        <f t="shared" si="125"/>
        <v/>
      </c>
      <c r="DG177" t="str">
        <f>IF(B177="","",step01标题尺码信息!$T$30)</f>
        <v/>
      </c>
      <c r="DH177" t="str">
        <f t="shared" si="126"/>
        <v/>
      </c>
      <c r="DN177" t="str">
        <f ca="1" t="shared" si="127"/>
        <v/>
      </c>
      <c r="DW177" t="str">
        <f t="shared" si="128"/>
        <v/>
      </c>
      <c r="ER177" t="str">
        <f>IF(B177="","",step01标题尺码信息!$T$37)</f>
        <v/>
      </c>
      <c r="ES177" t="str">
        <f t="shared" si="129"/>
        <v/>
      </c>
      <c r="HF177" t="str">
        <f>IF(B177="","",step01标题尺码信息!$S$2)</f>
        <v/>
      </c>
      <c r="HH177" t="str">
        <f t="shared" si="130"/>
        <v/>
      </c>
      <c r="HI177" t="str">
        <f t="shared" si="131"/>
        <v/>
      </c>
      <c r="HL177" t="str">
        <f t="shared" si="132"/>
        <v/>
      </c>
      <c r="IA177" t="str">
        <f t="shared" si="133"/>
        <v/>
      </c>
    </row>
    <row r="178" spans="1:235">
      <c r="A178" t="str">
        <f>IF(B178="","",step01标题尺码信息!$B$3)</f>
        <v/>
      </c>
      <c r="B178" t="str">
        <f>IF(step01标题尺码信息!G180="","",step01标题尺码信息!G180)</f>
        <v/>
      </c>
      <c r="C178" t="str">
        <f>IF(B178="","",step01标题尺码信息!$E$3)</f>
        <v/>
      </c>
      <c r="D178" t="str">
        <f t="shared" si="115"/>
        <v/>
      </c>
      <c r="E178" t="str">
        <f ca="1">IF(B178="","",VLOOKUP(B178,step01标题尺码信息!G:P,4,0))</f>
        <v/>
      </c>
      <c r="H178" t="str">
        <f>IF(B178="","",step01标题尺码信息!$R$19)</f>
        <v/>
      </c>
      <c r="I178" t="str">
        <f t="shared" si="116"/>
        <v/>
      </c>
      <c r="M178" t="str">
        <f t="shared" si="117"/>
        <v/>
      </c>
      <c r="U178" t="str">
        <f>IF(B178="","",step01标题尺码信息!$S$1)</f>
        <v/>
      </c>
      <c r="V178" t="str">
        <f t="shared" si="118"/>
        <v/>
      </c>
      <c r="W178" t="str">
        <f>IF(B178="","",step01标题尺码信息!$V$1)</f>
        <v/>
      </c>
      <c r="X178" t="str">
        <f>IF(B178="","",step01标题尺码信息!$V$2)</f>
        <v/>
      </c>
      <c r="Y178" t="str">
        <f t="shared" si="119"/>
        <v/>
      </c>
      <c r="Z178" t="str">
        <f t="shared" si="120"/>
        <v/>
      </c>
      <c r="AA178" t="str">
        <f ca="1">IF(B178="","",IF(CB178="Parent","",VLOOKUP(B178,step01标题尺码信息!G:P,9,0)))</f>
        <v/>
      </c>
      <c r="AG178" t="str">
        <f t="shared" si="134"/>
        <v/>
      </c>
      <c r="AH178" t="str">
        <f t="shared" si="135"/>
        <v/>
      </c>
      <c r="AI178" t="str">
        <f ca="1">IF(OR(B178="",VLOOKUP(BH178,step02图片链接!B:E,4,0)=""),"",VLOOKUP(BH178,step02图片链接!B:E,4,0))</f>
        <v/>
      </c>
      <c r="AJ178" t="str">
        <f ca="1">IF(OR(B178="",VLOOKUP(BH178,step02图片链接!B:G,6,0)=""),"",VLOOKUP(BH178,step02图片链接!B:G,6,0))</f>
        <v/>
      </c>
      <c r="AK178" t="str">
        <f ca="1">IF(OR(B178="",VLOOKUP(BH178,step02图片链接!B:H,7,0)=""),"",VLOOKUP(BH178,step02图片链接!B:H,7,0))</f>
        <v/>
      </c>
      <c r="AL178" t="str">
        <f ca="1">IF(OR(B178="",VLOOKUP(BH178,step02图片链接!B:I,8,0)=""),"",VLOOKUP(BH178,step02图片链接!B:I,8,0))</f>
        <v/>
      </c>
      <c r="AM178" t="str">
        <f ca="1">IF(OR(B178="",VLOOKUP(BH178,step02图片链接!B:J,9,0)=""),"",VLOOKUP(BH178,step02图片链接!B:J,9,0))</f>
        <v/>
      </c>
      <c r="AN178" t="str">
        <f ca="1">IF(OR(B178="",VLOOKUP(BH178,step02图片链接!B:K,10,0)=""),"",VLOOKUP(BH178,step02图片链接!B:K,10,0))</f>
        <v/>
      </c>
      <c r="AO178" t="str">
        <f ca="1">IF(OR(B178="",VLOOKUP(BH178,step02图片链接!B:L,11,0)=""),"",VLOOKUP(BH178,step02图片链接!B:L,11,0))</f>
        <v/>
      </c>
      <c r="AP178" t="str">
        <f ca="1">IF(OR(B178="",VLOOKUP(BH178,step02图片链接!B:M,12,0)=""),"",VLOOKUP(BH178,step02图片链接!B:M,12,0))</f>
        <v/>
      </c>
      <c r="AQ178" t="str">
        <f ca="1">IF(OR(B178="",VLOOKUP(BH178,step02图片链接!B:N,13,0)=""),"",VLOOKUP(BH178,step02图片链接!B:N,13,0))</f>
        <v/>
      </c>
      <c r="AS178" t="str">
        <f t="shared" si="136"/>
        <v/>
      </c>
      <c r="AT178" t="str">
        <f t="shared" si="137"/>
        <v/>
      </c>
      <c r="AU178" t="str">
        <f t="shared" si="121"/>
        <v/>
      </c>
      <c r="AV178" t="str">
        <f>IF(B178="","",step01标题尺码信息!$T$36)</f>
        <v/>
      </c>
      <c r="AZ178" t="str">
        <f>IF(B178="","",step01标题尺码信息!$S$41)</f>
        <v/>
      </c>
      <c r="BA178" t="str">
        <f>IF(B178="","",step01标题尺码信息!$S$43)</f>
        <v/>
      </c>
      <c r="BB178" t="str">
        <f>IF(B178="","",step01标题尺码信息!$S$45)</f>
        <v/>
      </c>
      <c r="BC178" t="str">
        <f>IF(B178="","",step01标题尺码信息!$S$47)</f>
        <v/>
      </c>
      <c r="BD178" t="str">
        <f>IF(B178="","",step01标题尺码信息!$S$49)</f>
        <v/>
      </c>
      <c r="BE178" t="str">
        <f>IF(B178="","",step01标题尺码信息!$S$53)</f>
        <v/>
      </c>
      <c r="BH178" t="str">
        <f ca="1">IF(B178="","",IF(DX178="Parent","",VLOOKUP(B178,step01标题尺码信息!G:P,7,0)))</f>
        <v/>
      </c>
      <c r="BI178" t="str">
        <f ca="1">IF(B178="","",IF(DX178="Parent","",VLOOKUP(B178,step01标题尺码信息!G:P,8,0)))</f>
        <v/>
      </c>
      <c r="BK178" t="str">
        <f t="shared" si="122"/>
        <v/>
      </c>
      <c r="BL178" t="str">
        <f t="shared" si="123"/>
        <v/>
      </c>
      <c r="BO178" t="str">
        <f t="shared" si="124"/>
        <v/>
      </c>
      <c r="BR178" t="str">
        <f ca="1">IF(B178="","",IF(AS178="Parent","",VLOOKUP(B178,step01标题尺码信息!G:P,9,0)))</f>
        <v/>
      </c>
      <c r="CY178" t="str">
        <f t="shared" si="125"/>
        <v/>
      </c>
      <c r="DG178" t="str">
        <f>IF(B178="","",step01标题尺码信息!$T$30)</f>
        <v/>
      </c>
      <c r="DH178" t="str">
        <f t="shared" si="126"/>
        <v/>
      </c>
      <c r="DN178" t="str">
        <f ca="1" t="shared" si="127"/>
        <v/>
      </c>
      <c r="DW178" t="str">
        <f t="shared" si="128"/>
        <v/>
      </c>
      <c r="ER178" t="str">
        <f>IF(B178="","",step01标题尺码信息!$T$37)</f>
        <v/>
      </c>
      <c r="ES178" t="str">
        <f t="shared" si="129"/>
        <v/>
      </c>
      <c r="HF178" t="str">
        <f>IF(B178="","",step01标题尺码信息!$S$2)</f>
        <v/>
      </c>
      <c r="HH178" t="str">
        <f t="shared" si="130"/>
        <v/>
      </c>
      <c r="HI178" t="str">
        <f t="shared" si="131"/>
        <v/>
      </c>
      <c r="HL178" t="str">
        <f t="shared" si="132"/>
        <v/>
      </c>
      <c r="IA178" t="str">
        <f t="shared" si="133"/>
        <v/>
      </c>
    </row>
    <row r="179" spans="1:235">
      <c r="A179" t="str">
        <f>IF(B179="","",step01标题尺码信息!$B$3)</f>
        <v/>
      </c>
      <c r="B179" t="str">
        <f>IF(step01标题尺码信息!G181="","",step01标题尺码信息!G181)</f>
        <v/>
      </c>
      <c r="C179" t="str">
        <f>IF(B179="","",step01标题尺码信息!$E$3)</f>
        <v/>
      </c>
      <c r="D179" t="str">
        <f t="shared" si="115"/>
        <v/>
      </c>
      <c r="E179" t="str">
        <f ca="1">IF(B179="","",VLOOKUP(B179,step01标题尺码信息!G:P,4,0))</f>
        <v/>
      </c>
      <c r="H179" t="str">
        <f>IF(B179="","",step01标题尺码信息!$R$19)</f>
        <v/>
      </c>
      <c r="I179" t="str">
        <f t="shared" si="116"/>
        <v/>
      </c>
      <c r="M179" t="str">
        <f t="shared" si="117"/>
        <v/>
      </c>
      <c r="U179" t="str">
        <f>IF(B179="","",step01标题尺码信息!$S$1)</f>
        <v/>
      </c>
      <c r="V179" t="str">
        <f t="shared" si="118"/>
        <v/>
      </c>
      <c r="W179" t="str">
        <f>IF(B179="","",step01标题尺码信息!$V$1)</f>
        <v/>
      </c>
      <c r="X179" t="str">
        <f>IF(B179="","",step01标题尺码信息!$V$2)</f>
        <v/>
      </c>
      <c r="Y179" t="str">
        <f t="shared" si="119"/>
        <v/>
      </c>
      <c r="Z179" t="str">
        <f t="shared" si="120"/>
        <v/>
      </c>
      <c r="AA179" t="str">
        <f ca="1">IF(B179="","",IF(CB179="Parent","",VLOOKUP(B179,step01标题尺码信息!G:P,9,0)))</f>
        <v/>
      </c>
      <c r="AG179" t="str">
        <f t="shared" si="134"/>
        <v/>
      </c>
      <c r="AH179" t="str">
        <f t="shared" si="135"/>
        <v/>
      </c>
      <c r="AI179" t="str">
        <f ca="1">IF(OR(B179="",VLOOKUP(BH179,step02图片链接!B:E,4,0)=""),"",VLOOKUP(BH179,step02图片链接!B:E,4,0))</f>
        <v/>
      </c>
      <c r="AJ179" t="str">
        <f ca="1">IF(OR(B179="",VLOOKUP(BH179,step02图片链接!B:G,6,0)=""),"",VLOOKUP(BH179,step02图片链接!B:G,6,0))</f>
        <v/>
      </c>
      <c r="AK179" t="str">
        <f ca="1">IF(OR(B179="",VLOOKUP(BH179,step02图片链接!B:H,7,0)=""),"",VLOOKUP(BH179,step02图片链接!B:H,7,0))</f>
        <v/>
      </c>
      <c r="AL179" t="str">
        <f ca="1">IF(OR(B179="",VLOOKUP(BH179,step02图片链接!B:I,8,0)=""),"",VLOOKUP(BH179,step02图片链接!B:I,8,0))</f>
        <v/>
      </c>
      <c r="AM179" t="str">
        <f ca="1">IF(OR(B179="",VLOOKUP(BH179,step02图片链接!B:J,9,0)=""),"",VLOOKUP(BH179,step02图片链接!B:J,9,0))</f>
        <v/>
      </c>
      <c r="AN179" t="str">
        <f ca="1">IF(OR(B179="",VLOOKUP(BH179,step02图片链接!B:K,10,0)=""),"",VLOOKUP(BH179,step02图片链接!B:K,10,0))</f>
        <v/>
      </c>
      <c r="AO179" t="str">
        <f ca="1">IF(OR(B179="",VLOOKUP(BH179,step02图片链接!B:L,11,0)=""),"",VLOOKUP(BH179,step02图片链接!B:L,11,0))</f>
        <v/>
      </c>
      <c r="AP179" t="str">
        <f ca="1">IF(OR(B179="",VLOOKUP(BH179,step02图片链接!B:M,12,0)=""),"",VLOOKUP(BH179,step02图片链接!B:M,12,0))</f>
        <v/>
      </c>
      <c r="AQ179" t="str">
        <f ca="1">IF(OR(B179="",VLOOKUP(BH179,step02图片链接!B:N,13,0)=""),"",VLOOKUP(BH179,step02图片链接!B:N,13,0))</f>
        <v/>
      </c>
      <c r="AS179" t="str">
        <f t="shared" si="136"/>
        <v/>
      </c>
      <c r="AT179" t="str">
        <f t="shared" si="137"/>
        <v/>
      </c>
      <c r="AU179" t="str">
        <f t="shared" si="121"/>
        <v/>
      </c>
      <c r="AV179" t="str">
        <f>IF(B179="","",step01标题尺码信息!$T$36)</f>
        <v/>
      </c>
      <c r="AZ179" t="str">
        <f>IF(B179="","",step01标题尺码信息!$S$41)</f>
        <v/>
      </c>
      <c r="BA179" t="str">
        <f>IF(B179="","",step01标题尺码信息!$S$43)</f>
        <v/>
      </c>
      <c r="BB179" t="str">
        <f>IF(B179="","",step01标题尺码信息!$S$45)</f>
        <v/>
      </c>
      <c r="BC179" t="str">
        <f>IF(B179="","",step01标题尺码信息!$S$47)</f>
        <v/>
      </c>
      <c r="BD179" t="str">
        <f>IF(B179="","",step01标题尺码信息!$S$49)</f>
        <v/>
      </c>
      <c r="BE179" t="str">
        <f>IF(B179="","",step01标题尺码信息!$S$53)</f>
        <v/>
      </c>
      <c r="BH179" t="str">
        <f ca="1">IF(B179="","",IF(DX179="Parent","",VLOOKUP(B179,step01标题尺码信息!G:P,7,0)))</f>
        <v/>
      </c>
      <c r="BI179" t="str">
        <f ca="1">IF(B179="","",IF(DX179="Parent","",VLOOKUP(B179,step01标题尺码信息!G:P,8,0)))</f>
        <v/>
      </c>
      <c r="BK179" t="str">
        <f t="shared" si="122"/>
        <v/>
      </c>
      <c r="BL179" t="str">
        <f t="shared" si="123"/>
        <v/>
      </c>
      <c r="BO179" t="str">
        <f t="shared" si="124"/>
        <v/>
      </c>
      <c r="BR179" t="str">
        <f ca="1">IF(B179="","",IF(AS179="Parent","",VLOOKUP(B179,step01标题尺码信息!G:P,9,0)))</f>
        <v/>
      </c>
      <c r="CY179" t="str">
        <f t="shared" si="125"/>
        <v/>
      </c>
      <c r="DG179" t="str">
        <f>IF(B179="","",step01标题尺码信息!$T$30)</f>
        <v/>
      </c>
      <c r="DH179" t="str">
        <f t="shared" si="126"/>
        <v/>
      </c>
      <c r="DN179" t="str">
        <f ca="1" t="shared" si="127"/>
        <v/>
      </c>
      <c r="DW179" t="str">
        <f t="shared" si="128"/>
        <v/>
      </c>
      <c r="ER179" t="str">
        <f>IF(B179="","",step01标题尺码信息!$T$37)</f>
        <v/>
      </c>
      <c r="ES179" t="str">
        <f t="shared" si="129"/>
        <v/>
      </c>
      <c r="HF179" t="str">
        <f>IF(B179="","",step01标题尺码信息!$S$2)</f>
        <v/>
      </c>
      <c r="HH179" t="str">
        <f t="shared" si="130"/>
        <v/>
      </c>
      <c r="HI179" t="str">
        <f t="shared" si="131"/>
        <v/>
      </c>
      <c r="HL179" t="str">
        <f t="shared" si="132"/>
        <v/>
      </c>
      <c r="IA179" t="str">
        <f t="shared" si="133"/>
        <v/>
      </c>
    </row>
    <row r="180" spans="1:235">
      <c r="A180" t="str">
        <f>IF(B180="","",step01标题尺码信息!$B$3)</f>
        <v/>
      </c>
      <c r="B180" t="str">
        <f>IF(step01标题尺码信息!G182="","",step01标题尺码信息!G182)</f>
        <v/>
      </c>
      <c r="C180" t="str">
        <f>IF(B180="","",step01标题尺码信息!$E$3)</f>
        <v/>
      </c>
      <c r="D180" t="str">
        <f t="shared" si="115"/>
        <v/>
      </c>
      <c r="E180" t="str">
        <f ca="1">IF(B180="","",VLOOKUP(B180,step01标题尺码信息!G:P,4,0))</f>
        <v/>
      </c>
      <c r="H180" t="str">
        <f>IF(B180="","",step01标题尺码信息!$R$19)</f>
        <v/>
      </c>
      <c r="I180" t="str">
        <f t="shared" si="116"/>
        <v/>
      </c>
      <c r="M180" t="str">
        <f t="shared" si="117"/>
        <v/>
      </c>
      <c r="U180" t="str">
        <f>IF(B180="","",step01标题尺码信息!$S$1)</f>
        <v/>
      </c>
      <c r="V180" t="str">
        <f t="shared" si="118"/>
        <v/>
      </c>
      <c r="W180" t="str">
        <f>IF(B180="","",step01标题尺码信息!$V$1)</f>
        <v/>
      </c>
      <c r="X180" t="str">
        <f>IF(B180="","",step01标题尺码信息!$V$2)</f>
        <v/>
      </c>
      <c r="Y180" t="str">
        <f t="shared" si="119"/>
        <v/>
      </c>
      <c r="Z180" t="str">
        <f t="shared" si="120"/>
        <v/>
      </c>
      <c r="AA180" t="str">
        <f ca="1">IF(B180="","",IF(CB180="Parent","",VLOOKUP(B180,step01标题尺码信息!G:P,9,0)))</f>
        <v/>
      </c>
      <c r="AG180" t="str">
        <f t="shared" si="134"/>
        <v/>
      </c>
      <c r="AH180" t="str">
        <f t="shared" si="135"/>
        <v/>
      </c>
      <c r="AI180" t="str">
        <f ca="1">IF(OR(B180="",VLOOKUP(BH180,step02图片链接!B:E,4,0)=""),"",VLOOKUP(BH180,step02图片链接!B:E,4,0))</f>
        <v/>
      </c>
      <c r="AJ180" t="str">
        <f ca="1">IF(OR(B180="",VLOOKUP(BH180,step02图片链接!B:G,6,0)=""),"",VLOOKUP(BH180,step02图片链接!B:G,6,0))</f>
        <v/>
      </c>
      <c r="AK180" t="str">
        <f ca="1">IF(OR(B180="",VLOOKUP(BH180,step02图片链接!B:H,7,0)=""),"",VLOOKUP(BH180,step02图片链接!B:H,7,0))</f>
        <v/>
      </c>
      <c r="AL180" t="str">
        <f ca="1">IF(OR(B180="",VLOOKUP(BH180,step02图片链接!B:I,8,0)=""),"",VLOOKUP(BH180,step02图片链接!B:I,8,0))</f>
        <v/>
      </c>
      <c r="AM180" t="str">
        <f ca="1">IF(OR(B180="",VLOOKUP(BH180,step02图片链接!B:J,9,0)=""),"",VLOOKUP(BH180,step02图片链接!B:J,9,0))</f>
        <v/>
      </c>
      <c r="AN180" t="str">
        <f ca="1">IF(OR(B180="",VLOOKUP(BH180,step02图片链接!B:K,10,0)=""),"",VLOOKUP(BH180,step02图片链接!B:K,10,0))</f>
        <v/>
      </c>
      <c r="AO180" t="str">
        <f ca="1">IF(OR(B180="",VLOOKUP(BH180,step02图片链接!B:L,11,0)=""),"",VLOOKUP(BH180,step02图片链接!B:L,11,0))</f>
        <v/>
      </c>
      <c r="AP180" t="str">
        <f ca="1">IF(OR(B180="",VLOOKUP(BH180,step02图片链接!B:M,12,0)=""),"",VLOOKUP(BH180,step02图片链接!B:M,12,0))</f>
        <v/>
      </c>
      <c r="AQ180" t="str">
        <f ca="1">IF(OR(B180="",VLOOKUP(BH180,step02图片链接!B:N,13,0)=""),"",VLOOKUP(BH180,step02图片链接!B:N,13,0))</f>
        <v/>
      </c>
      <c r="AS180" t="str">
        <f t="shared" si="136"/>
        <v/>
      </c>
      <c r="AT180" t="str">
        <f t="shared" si="137"/>
        <v/>
      </c>
      <c r="AU180" t="str">
        <f t="shared" si="121"/>
        <v/>
      </c>
      <c r="AV180" t="str">
        <f>IF(B180="","",step01标题尺码信息!$T$36)</f>
        <v/>
      </c>
      <c r="AZ180" t="str">
        <f>IF(B180="","",step01标题尺码信息!$S$41)</f>
        <v/>
      </c>
      <c r="BA180" t="str">
        <f>IF(B180="","",step01标题尺码信息!$S$43)</f>
        <v/>
      </c>
      <c r="BB180" t="str">
        <f>IF(B180="","",step01标题尺码信息!$S$45)</f>
        <v/>
      </c>
      <c r="BC180" t="str">
        <f>IF(B180="","",step01标题尺码信息!$S$47)</f>
        <v/>
      </c>
      <c r="BD180" t="str">
        <f>IF(B180="","",step01标题尺码信息!$S$49)</f>
        <v/>
      </c>
      <c r="BE180" t="str">
        <f>IF(B180="","",step01标题尺码信息!$S$53)</f>
        <v/>
      </c>
      <c r="BH180" t="str">
        <f ca="1">IF(B180="","",IF(DX180="Parent","",VLOOKUP(B180,step01标题尺码信息!G:P,7,0)))</f>
        <v/>
      </c>
      <c r="BI180" t="str">
        <f ca="1">IF(B180="","",IF(DX180="Parent","",VLOOKUP(B180,step01标题尺码信息!G:P,8,0)))</f>
        <v/>
      </c>
      <c r="BK180" t="str">
        <f t="shared" si="122"/>
        <v/>
      </c>
      <c r="BL180" t="str">
        <f t="shared" si="123"/>
        <v/>
      </c>
      <c r="BO180" t="str">
        <f t="shared" si="124"/>
        <v/>
      </c>
      <c r="BR180" t="str">
        <f ca="1">IF(B180="","",IF(AS180="Parent","",VLOOKUP(B180,step01标题尺码信息!G:P,9,0)))</f>
        <v/>
      </c>
      <c r="CY180" t="str">
        <f t="shared" si="125"/>
        <v/>
      </c>
      <c r="DG180" t="str">
        <f>IF(B180="","",step01标题尺码信息!$T$30)</f>
        <v/>
      </c>
      <c r="DH180" t="str">
        <f t="shared" si="126"/>
        <v/>
      </c>
      <c r="DN180" t="str">
        <f ca="1" t="shared" si="127"/>
        <v/>
      </c>
      <c r="DW180" t="str">
        <f t="shared" si="128"/>
        <v/>
      </c>
      <c r="ER180" t="str">
        <f>IF(B180="","",step01标题尺码信息!$T$37)</f>
        <v/>
      </c>
      <c r="ES180" t="str">
        <f t="shared" si="129"/>
        <v/>
      </c>
      <c r="HF180" t="str">
        <f>IF(B180="","",step01标题尺码信息!$S$2)</f>
        <v/>
      </c>
      <c r="HH180" t="str">
        <f t="shared" si="130"/>
        <v/>
      </c>
      <c r="HI180" t="str">
        <f t="shared" si="131"/>
        <v/>
      </c>
      <c r="HL180" t="str">
        <f t="shared" si="132"/>
        <v/>
      </c>
      <c r="IA180" t="str">
        <f t="shared" si="133"/>
        <v/>
      </c>
    </row>
    <row r="181" spans="1:235">
      <c r="A181" t="str">
        <f>IF(B181="","",step01标题尺码信息!$B$3)</f>
        <v/>
      </c>
      <c r="B181" t="str">
        <f>IF(step01标题尺码信息!G183="","",step01标题尺码信息!G183)</f>
        <v/>
      </c>
      <c r="C181" t="str">
        <f>IF(B181="","",step01标题尺码信息!$E$3)</f>
        <v/>
      </c>
      <c r="D181" t="str">
        <f t="shared" si="115"/>
        <v/>
      </c>
      <c r="E181" t="str">
        <f ca="1">IF(B181="","",VLOOKUP(B181,step01标题尺码信息!G:P,4,0))</f>
        <v/>
      </c>
      <c r="H181" t="str">
        <f>IF(B181="","",step01标题尺码信息!$R$19)</f>
        <v/>
      </c>
      <c r="I181" t="str">
        <f t="shared" si="116"/>
        <v/>
      </c>
      <c r="M181" t="str">
        <f t="shared" si="117"/>
        <v/>
      </c>
      <c r="U181" t="str">
        <f>IF(B181="","",step01标题尺码信息!$S$1)</f>
        <v/>
      </c>
      <c r="V181" t="str">
        <f t="shared" si="118"/>
        <v/>
      </c>
      <c r="W181" t="str">
        <f>IF(B181="","",step01标题尺码信息!$V$1)</f>
        <v/>
      </c>
      <c r="X181" t="str">
        <f>IF(B181="","",step01标题尺码信息!$V$2)</f>
        <v/>
      </c>
      <c r="Y181" t="str">
        <f t="shared" si="119"/>
        <v/>
      </c>
      <c r="Z181" t="str">
        <f t="shared" si="120"/>
        <v/>
      </c>
      <c r="AA181" t="str">
        <f ca="1">IF(B181="","",IF(CB181="Parent","",VLOOKUP(B181,step01标题尺码信息!G:P,9,0)))</f>
        <v/>
      </c>
      <c r="AG181" t="str">
        <f t="shared" si="134"/>
        <v/>
      </c>
      <c r="AH181" t="str">
        <f t="shared" si="135"/>
        <v/>
      </c>
      <c r="AI181" t="str">
        <f ca="1">IF(OR(B181="",VLOOKUP(BH181,step02图片链接!B:E,4,0)=""),"",VLOOKUP(BH181,step02图片链接!B:E,4,0))</f>
        <v/>
      </c>
      <c r="AJ181" t="str">
        <f ca="1">IF(OR(B181="",VLOOKUP(BH181,step02图片链接!B:G,6,0)=""),"",VLOOKUP(BH181,step02图片链接!B:G,6,0))</f>
        <v/>
      </c>
      <c r="AK181" t="str">
        <f ca="1">IF(OR(B181="",VLOOKUP(BH181,step02图片链接!B:H,7,0)=""),"",VLOOKUP(BH181,step02图片链接!B:H,7,0))</f>
        <v/>
      </c>
      <c r="AL181" t="str">
        <f ca="1">IF(OR(B181="",VLOOKUP(BH181,step02图片链接!B:I,8,0)=""),"",VLOOKUP(BH181,step02图片链接!B:I,8,0))</f>
        <v/>
      </c>
      <c r="AM181" t="str">
        <f ca="1">IF(OR(B181="",VLOOKUP(BH181,step02图片链接!B:J,9,0)=""),"",VLOOKUP(BH181,step02图片链接!B:J,9,0))</f>
        <v/>
      </c>
      <c r="AN181" t="str">
        <f ca="1">IF(OR(B181="",VLOOKUP(BH181,step02图片链接!B:K,10,0)=""),"",VLOOKUP(BH181,step02图片链接!B:K,10,0))</f>
        <v/>
      </c>
      <c r="AO181" t="str">
        <f ca="1">IF(OR(B181="",VLOOKUP(BH181,step02图片链接!B:L,11,0)=""),"",VLOOKUP(BH181,step02图片链接!B:L,11,0))</f>
        <v/>
      </c>
      <c r="AP181" t="str">
        <f ca="1">IF(OR(B181="",VLOOKUP(BH181,step02图片链接!B:M,12,0)=""),"",VLOOKUP(BH181,step02图片链接!B:M,12,0))</f>
        <v/>
      </c>
      <c r="AQ181" t="str">
        <f ca="1">IF(OR(B181="",VLOOKUP(BH181,step02图片链接!B:N,13,0)=""),"",VLOOKUP(BH181,step02图片链接!B:N,13,0))</f>
        <v/>
      </c>
      <c r="AS181" t="str">
        <f t="shared" si="136"/>
        <v/>
      </c>
      <c r="AT181" t="str">
        <f t="shared" si="137"/>
        <v/>
      </c>
      <c r="AU181" t="str">
        <f t="shared" si="121"/>
        <v/>
      </c>
      <c r="AV181" t="str">
        <f>IF(B181="","",step01标题尺码信息!$T$36)</f>
        <v/>
      </c>
      <c r="AZ181" t="str">
        <f>IF(B181="","",step01标题尺码信息!$S$41)</f>
        <v/>
      </c>
      <c r="BA181" t="str">
        <f>IF(B181="","",step01标题尺码信息!$S$43)</f>
        <v/>
      </c>
      <c r="BB181" t="str">
        <f>IF(B181="","",step01标题尺码信息!$S$45)</f>
        <v/>
      </c>
      <c r="BC181" t="str">
        <f>IF(B181="","",step01标题尺码信息!$S$47)</f>
        <v/>
      </c>
      <c r="BD181" t="str">
        <f>IF(B181="","",step01标题尺码信息!$S$49)</f>
        <v/>
      </c>
      <c r="BE181" t="str">
        <f>IF(B181="","",step01标题尺码信息!$S$53)</f>
        <v/>
      </c>
      <c r="BH181" t="str">
        <f ca="1">IF(B181="","",IF(DX181="Parent","",VLOOKUP(B181,step01标题尺码信息!G:P,7,0)))</f>
        <v/>
      </c>
      <c r="BI181" t="str">
        <f ca="1">IF(B181="","",IF(DX181="Parent","",VLOOKUP(B181,step01标题尺码信息!G:P,8,0)))</f>
        <v/>
      </c>
      <c r="BK181" t="str">
        <f t="shared" si="122"/>
        <v/>
      </c>
      <c r="BL181" t="str">
        <f t="shared" si="123"/>
        <v/>
      </c>
      <c r="BO181" t="str">
        <f t="shared" si="124"/>
        <v/>
      </c>
      <c r="BR181" t="str">
        <f ca="1">IF(B181="","",IF(AS181="Parent","",VLOOKUP(B181,step01标题尺码信息!G:P,9,0)))</f>
        <v/>
      </c>
      <c r="CY181" t="str">
        <f t="shared" si="125"/>
        <v/>
      </c>
      <c r="DG181" t="str">
        <f>IF(B181="","",step01标题尺码信息!$T$30)</f>
        <v/>
      </c>
      <c r="DH181" t="str">
        <f t="shared" si="126"/>
        <v/>
      </c>
      <c r="DN181" t="str">
        <f ca="1" t="shared" si="127"/>
        <v/>
      </c>
      <c r="DW181" t="str">
        <f t="shared" si="128"/>
        <v/>
      </c>
      <c r="ER181" t="str">
        <f>IF(B181="","",step01标题尺码信息!$T$37)</f>
        <v/>
      </c>
      <c r="ES181" t="str">
        <f t="shared" si="129"/>
        <v/>
      </c>
      <c r="HF181" t="str">
        <f>IF(B181="","",step01标题尺码信息!$S$2)</f>
        <v/>
      </c>
      <c r="HH181" t="str">
        <f t="shared" si="130"/>
        <v/>
      </c>
      <c r="HI181" t="str">
        <f t="shared" si="131"/>
        <v/>
      </c>
      <c r="HL181" t="str">
        <f t="shared" si="132"/>
        <v/>
      </c>
      <c r="IA181" t="str">
        <f t="shared" si="133"/>
        <v/>
      </c>
    </row>
    <row r="182" spans="1:235">
      <c r="A182" t="str">
        <f>IF(B182="","",step01标题尺码信息!$B$3)</f>
        <v/>
      </c>
      <c r="B182" t="str">
        <f>IF(step01标题尺码信息!G184="","",step01标题尺码信息!G184)</f>
        <v/>
      </c>
      <c r="C182" t="str">
        <f>IF(B182="","",step01标题尺码信息!$E$3)</f>
        <v/>
      </c>
      <c r="D182" t="str">
        <f t="shared" si="115"/>
        <v/>
      </c>
      <c r="E182" t="str">
        <f ca="1">IF(B182="","",VLOOKUP(B182,step01标题尺码信息!G:P,4,0))</f>
        <v/>
      </c>
      <c r="H182" t="str">
        <f>IF(B182="","",step01标题尺码信息!$R$19)</f>
        <v/>
      </c>
      <c r="I182" t="str">
        <f t="shared" si="116"/>
        <v/>
      </c>
      <c r="M182" t="str">
        <f t="shared" si="117"/>
        <v/>
      </c>
      <c r="U182" t="str">
        <f>IF(B182="","",step01标题尺码信息!$S$1)</f>
        <v/>
      </c>
      <c r="V182" t="str">
        <f t="shared" si="118"/>
        <v/>
      </c>
      <c r="W182" t="str">
        <f>IF(B182="","",step01标题尺码信息!$V$1)</f>
        <v/>
      </c>
      <c r="X182" t="str">
        <f>IF(B182="","",step01标题尺码信息!$V$2)</f>
        <v/>
      </c>
      <c r="Y182" t="str">
        <f t="shared" si="119"/>
        <v/>
      </c>
      <c r="Z182" t="str">
        <f t="shared" si="120"/>
        <v/>
      </c>
      <c r="AA182" t="str">
        <f ca="1">IF(B182="","",IF(CB182="Parent","",VLOOKUP(B182,step01标题尺码信息!G:P,9,0)))</f>
        <v/>
      </c>
      <c r="AG182" t="str">
        <f t="shared" si="134"/>
        <v/>
      </c>
      <c r="AH182" t="str">
        <f t="shared" si="135"/>
        <v/>
      </c>
      <c r="AI182" t="str">
        <f ca="1">IF(OR(B182="",VLOOKUP(BH182,step02图片链接!B:E,4,0)=""),"",VLOOKUP(BH182,step02图片链接!B:E,4,0))</f>
        <v/>
      </c>
      <c r="AJ182" t="str">
        <f ca="1">IF(OR(B182="",VLOOKUP(BH182,step02图片链接!B:G,6,0)=""),"",VLOOKUP(BH182,step02图片链接!B:G,6,0))</f>
        <v/>
      </c>
      <c r="AK182" t="str">
        <f ca="1">IF(OR(B182="",VLOOKUP(BH182,step02图片链接!B:H,7,0)=""),"",VLOOKUP(BH182,step02图片链接!B:H,7,0))</f>
        <v/>
      </c>
      <c r="AL182" t="str">
        <f ca="1">IF(OR(B182="",VLOOKUP(BH182,step02图片链接!B:I,8,0)=""),"",VLOOKUP(BH182,step02图片链接!B:I,8,0))</f>
        <v/>
      </c>
      <c r="AM182" t="str">
        <f ca="1">IF(OR(B182="",VLOOKUP(BH182,step02图片链接!B:J,9,0)=""),"",VLOOKUP(BH182,step02图片链接!B:J,9,0))</f>
        <v/>
      </c>
      <c r="AN182" t="str">
        <f ca="1">IF(OR(B182="",VLOOKUP(BH182,step02图片链接!B:K,10,0)=""),"",VLOOKUP(BH182,step02图片链接!B:K,10,0))</f>
        <v/>
      </c>
      <c r="AO182" t="str">
        <f ca="1">IF(OR(B182="",VLOOKUP(BH182,step02图片链接!B:L,11,0)=""),"",VLOOKUP(BH182,step02图片链接!B:L,11,0))</f>
        <v/>
      </c>
      <c r="AP182" t="str">
        <f ca="1">IF(OR(B182="",VLOOKUP(BH182,step02图片链接!B:M,12,0)=""),"",VLOOKUP(BH182,step02图片链接!B:M,12,0))</f>
        <v/>
      </c>
      <c r="AQ182" t="str">
        <f ca="1">IF(OR(B182="",VLOOKUP(BH182,step02图片链接!B:N,13,0)=""),"",VLOOKUP(BH182,step02图片链接!B:N,13,0))</f>
        <v/>
      </c>
      <c r="AS182" t="str">
        <f t="shared" si="136"/>
        <v/>
      </c>
      <c r="AT182" t="str">
        <f t="shared" si="137"/>
        <v/>
      </c>
      <c r="AU182" t="str">
        <f t="shared" si="121"/>
        <v/>
      </c>
      <c r="AV182" t="str">
        <f>IF(B182="","",step01标题尺码信息!$T$36)</f>
        <v/>
      </c>
      <c r="AZ182" t="str">
        <f>IF(B182="","",step01标题尺码信息!$S$41)</f>
        <v/>
      </c>
      <c r="BA182" t="str">
        <f>IF(B182="","",step01标题尺码信息!$S$43)</f>
        <v/>
      </c>
      <c r="BB182" t="str">
        <f>IF(B182="","",step01标题尺码信息!$S$45)</f>
        <v/>
      </c>
      <c r="BC182" t="str">
        <f>IF(B182="","",step01标题尺码信息!$S$47)</f>
        <v/>
      </c>
      <c r="BD182" t="str">
        <f>IF(B182="","",step01标题尺码信息!$S$49)</f>
        <v/>
      </c>
      <c r="BE182" t="str">
        <f>IF(B182="","",step01标题尺码信息!$S$53)</f>
        <v/>
      </c>
      <c r="BH182" t="str">
        <f ca="1">IF(B182="","",IF(DX182="Parent","",VLOOKUP(B182,step01标题尺码信息!G:P,7,0)))</f>
        <v/>
      </c>
      <c r="BI182" t="str">
        <f ca="1">IF(B182="","",IF(DX182="Parent","",VLOOKUP(B182,step01标题尺码信息!G:P,8,0)))</f>
        <v/>
      </c>
      <c r="BK182" t="str">
        <f t="shared" si="122"/>
        <v/>
      </c>
      <c r="BL182" t="str">
        <f t="shared" si="123"/>
        <v/>
      </c>
      <c r="BO182" t="str">
        <f t="shared" si="124"/>
        <v/>
      </c>
      <c r="BR182" t="str">
        <f ca="1">IF(B182="","",IF(AS182="Parent","",VLOOKUP(B182,step01标题尺码信息!G:P,9,0)))</f>
        <v/>
      </c>
      <c r="CY182" t="str">
        <f t="shared" si="125"/>
        <v/>
      </c>
      <c r="DG182" t="str">
        <f>IF(B182="","",step01标题尺码信息!$T$30)</f>
        <v/>
      </c>
      <c r="DH182" t="str">
        <f t="shared" si="126"/>
        <v/>
      </c>
      <c r="DN182" t="str">
        <f ca="1" t="shared" si="127"/>
        <v/>
      </c>
      <c r="DW182" t="str">
        <f t="shared" si="128"/>
        <v/>
      </c>
      <c r="ER182" t="str">
        <f>IF(B182="","",step01标题尺码信息!$T$37)</f>
        <v/>
      </c>
      <c r="ES182" t="str">
        <f t="shared" si="129"/>
        <v/>
      </c>
      <c r="HF182" t="str">
        <f>IF(B182="","",step01标题尺码信息!$S$2)</f>
        <v/>
      </c>
      <c r="HH182" t="str">
        <f t="shared" si="130"/>
        <v/>
      </c>
      <c r="HI182" t="str">
        <f t="shared" si="131"/>
        <v/>
      </c>
      <c r="HL182" t="str">
        <f t="shared" si="132"/>
        <v/>
      </c>
      <c r="IA182" t="str">
        <f t="shared" si="133"/>
        <v/>
      </c>
    </row>
    <row r="183" spans="1:235">
      <c r="A183" t="str">
        <f>IF(B183="","",step01标题尺码信息!$B$3)</f>
        <v/>
      </c>
      <c r="B183" t="str">
        <f>IF(step01标题尺码信息!G185="","",step01标题尺码信息!G185)</f>
        <v/>
      </c>
      <c r="C183" t="str">
        <f>IF(B183="","",step01标题尺码信息!$E$3)</f>
        <v/>
      </c>
      <c r="D183" t="str">
        <f t="shared" si="115"/>
        <v/>
      </c>
      <c r="E183" t="str">
        <f ca="1">IF(B183="","",VLOOKUP(B183,step01标题尺码信息!G:P,4,0))</f>
        <v/>
      </c>
      <c r="H183" t="str">
        <f>IF(B183="","",step01标题尺码信息!$R$19)</f>
        <v/>
      </c>
      <c r="I183" t="str">
        <f t="shared" si="116"/>
        <v/>
      </c>
      <c r="M183" t="str">
        <f t="shared" si="117"/>
        <v/>
      </c>
      <c r="U183" t="str">
        <f>IF(B183="","",step01标题尺码信息!$S$1)</f>
        <v/>
      </c>
      <c r="V183" t="str">
        <f t="shared" si="118"/>
        <v/>
      </c>
      <c r="W183" t="str">
        <f>IF(B183="","",step01标题尺码信息!$V$1)</f>
        <v/>
      </c>
      <c r="X183" t="str">
        <f>IF(B183="","",step01标题尺码信息!$V$2)</f>
        <v/>
      </c>
      <c r="Y183" t="str">
        <f t="shared" si="119"/>
        <v/>
      </c>
      <c r="Z183" t="str">
        <f t="shared" si="120"/>
        <v/>
      </c>
      <c r="AA183" t="str">
        <f ca="1">IF(B183="","",IF(CB183="Parent","",VLOOKUP(B183,step01标题尺码信息!G:P,9,0)))</f>
        <v/>
      </c>
      <c r="AG183" t="str">
        <f t="shared" si="134"/>
        <v/>
      </c>
      <c r="AH183" t="str">
        <f t="shared" si="135"/>
        <v/>
      </c>
      <c r="AI183" t="str">
        <f ca="1">IF(OR(B183="",VLOOKUP(BH183,step02图片链接!B:E,4,0)=""),"",VLOOKUP(BH183,step02图片链接!B:E,4,0))</f>
        <v/>
      </c>
      <c r="AJ183" t="str">
        <f ca="1">IF(OR(B183="",VLOOKUP(BH183,step02图片链接!B:G,6,0)=""),"",VLOOKUP(BH183,step02图片链接!B:G,6,0))</f>
        <v/>
      </c>
      <c r="AK183" t="str">
        <f ca="1">IF(OR(B183="",VLOOKUP(BH183,step02图片链接!B:H,7,0)=""),"",VLOOKUP(BH183,step02图片链接!B:H,7,0))</f>
        <v/>
      </c>
      <c r="AL183" t="str">
        <f ca="1">IF(OR(B183="",VLOOKUP(BH183,step02图片链接!B:I,8,0)=""),"",VLOOKUP(BH183,step02图片链接!B:I,8,0))</f>
        <v/>
      </c>
      <c r="AM183" t="str">
        <f ca="1">IF(OR(B183="",VLOOKUP(BH183,step02图片链接!B:J,9,0)=""),"",VLOOKUP(BH183,step02图片链接!B:J,9,0))</f>
        <v/>
      </c>
      <c r="AN183" t="str">
        <f ca="1">IF(OR(B183="",VLOOKUP(BH183,step02图片链接!B:K,10,0)=""),"",VLOOKUP(BH183,step02图片链接!B:K,10,0))</f>
        <v/>
      </c>
      <c r="AO183" t="str">
        <f ca="1">IF(OR(B183="",VLOOKUP(BH183,step02图片链接!B:L,11,0)=""),"",VLOOKUP(BH183,step02图片链接!B:L,11,0))</f>
        <v/>
      </c>
      <c r="AP183" t="str">
        <f ca="1">IF(OR(B183="",VLOOKUP(BH183,step02图片链接!B:M,12,0)=""),"",VLOOKUP(BH183,step02图片链接!B:M,12,0))</f>
        <v/>
      </c>
      <c r="AQ183" t="str">
        <f ca="1">IF(OR(B183="",VLOOKUP(BH183,step02图片链接!B:N,13,0)=""),"",VLOOKUP(BH183,step02图片链接!B:N,13,0))</f>
        <v/>
      </c>
      <c r="AS183" t="str">
        <f t="shared" si="136"/>
        <v/>
      </c>
      <c r="AT183" t="str">
        <f t="shared" si="137"/>
        <v/>
      </c>
      <c r="AU183" t="str">
        <f t="shared" si="121"/>
        <v/>
      </c>
      <c r="AV183" t="str">
        <f>IF(B183="","",step01标题尺码信息!$T$36)</f>
        <v/>
      </c>
      <c r="AZ183" t="str">
        <f>IF(B183="","",step01标题尺码信息!$S$41)</f>
        <v/>
      </c>
      <c r="BA183" t="str">
        <f>IF(B183="","",step01标题尺码信息!$S$43)</f>
        <v/>
      </c>
      <c r="BB183" t="str">
        <f>IF(B183="","",step01标题尺码信息!$S$45)</f>
        <v/>
      </c>
      <c r="BC183" t="str">
        <f>IF(B183="","",step01标题尺码信息!$S$47)</f>
        <v/>
      </c>
      <c r="BD183" t="str">
        <f>IF(B183="","",step01标题尺码信息!$S$49)</f>
        <v/>
      </c>
      <c r="BE183" t="str">
        <f>IF(B183="","",step01标题尺码信息!$S$53)</f>
        <v/>
      </c>
      <c r="BH183" t="str">
        <f ca="1">IF(B183="","",IF(DX183="Parent","",VLOOKUP(B183,step01标题尺码信息!G:P,7,0)))</f>
        <v/>
      </c>
      <c r="BI183" t="str">
        <f ca="1">IF(B183="","",IF(DX183="Parent","",VLOOKUP(B183,step01标题尺码信息!G:P,8,0)))</f>
        <v/>
      </c>
      <c r="BK183" t="str">
        <f t="shared" si="122"/>
        <v/>
      </c>
      <c r="BL183" t="str">
        <f t="shared" si="123"/>
        <v/>
      </c>
      <c r="BO183" t="str">
        <f t="shared" si="124"/>
        <v/>
      </c>
      <c r="BR183" t="str">
        <f ca="1">IF(B183="","",IF(AS183="Parent","",VLOOKUP(B183,step01标题尺码信息!G:P,9,0)))</f>
        <v/>
      </c>
      <c r="CY183" t="str">
        <f t="shared" si="125"/>
        <v/>
      </c>
      <c r="DG183" t="str">
        <f>IF(B183="","",step01标题尺码信息!$T$30)</f>
        <v/>
      </c>
      <c r="DH183" t="str">
        <f t="shared" si="126"/>
        <v/>
      </c>
      <c r="DN183" t="str">
        <f ca="1" t="shared" si="127"/>
        <v/>
      </c>
      <c r="DW183" t="str">
        <f t="shared" si="128"/>
        <v/>
      </c>
      <c r="ER183" t="str">
        <f>IF(B183="","",step01标题尺码信息!$T$37)</f>
        <v/>
      </c>
      <c r="ES183" t="str">
        <f t="shared" si="129"/>
        <v/>
      </c>
      <c r="HF183" t="str">
        <f>IF(B183="","",step01标题尺码信息!$S$2)</f>
        <v/>
      </c>
      <c r="HH183" t="str">
        <f t="shared" si="130"/>
        <v/>
      </c>
      <c r="HI183" t="str">
        <f t="shared" si="131"/>
        <v/>
      </c>
      <c r="HL183" t="str">
        <f t="shared" si="132"/>
        <v/>
      </c>
      <c r="IA183" t="str">
        <f t="shared" si="133"/>
        <v/>
      </c>
    </row>
    <row r="184" spans="1:235">
      <c r="A184" t="str">
        <f>IF(B184="","",step01标题尺码信息!$B$3)</f>
        <v/>
      </c>
      <c r="B184" t="str">
        <f>IF(step01标题尺码信息!G186="","",step01标题尺码信息!G186)</f>
        <v/>
      </c>
      <c r="C184" t="str">
        <f>IF(B184="","",step01标题尺码信息!$E$3)</f>
        <v/>
      </c>
      <c r="D184" t="str">
        <f t="shared" si="115"/>
        <v/>
      </c>
      <c r="E184" t="str">
        <f ca="1">IF(B184="","",VLOOKUP(B184,step01标题尺码信息!G:P,4,0))</f>
        <v/>
      </c>
      <c r="H184" t="str">
        <f>IF(B184="","",step01标题尺码信息!$R$19)</f>
        <v/>
      </c>
      <c r="I184" t="str">
        <f t="shared" si="116"/>
        <v/>
      </c>
      <c r="M184" t="str">
        <f t="shared" si="117"/>
        <v/>
      </c>
      <c r="U184" t="str">
        <f>IF(B184="","",step01标题尺码信息!$S$1)</f>
        <v/>
      </c>
      <c r="V184" t="str">
        <f t="shared" si="118"/>
        <v/>
      </c>
      <c r="W184" t="str">
        <f>IF(B184="","",step01标题尺码信息!$V$1)</f>
        <v/>
      </c>
      <c r="X184" t="str">
        <f>IF(B184="","",step01标题尺码信息!$V$2)</f>
        <v/>
      </c>
      <c r="Y184" t="str">
        <f t="shared" si="119"/>
        <v/>
      </c>
      <c r="Z184" t="str">
        <f t="shared" si="120"/>
        <v/>
      </c>
      <c r="AA184" t="str">
        <f ca="1">IF(B184="","",IF(CB184="Parent","",VLOOKUP(B184,step01标题尺码信息!G:P,9,0)))</f>
        <v/>
      </c>
      <c r="AG184" t="str">
        <f t="shared" si="134"/>
        <v/>
      </c>
      <c r="AH184" t="str">
        <f t="shared" si="135"/>
        <v/>
      </c>
      <c r="AI184" t="str">
        <f ca="1">IF(OR(B184="",VLOOKUP(BH184,step02图片链接!B:E,4,0)=""),"",VLOOKUP(BH184,step02图片链接!B:E,4,0))</f>
        <v/>
      </c>
      <c r="AJ184" t="str">
        <f ca="1">IF(OR(B184="",VLOOKUP(BH184,step02图片链接!B:G,6,0)=""),"",VLOOKUP(BH184,step02图片链接!B:G,6,0))</f>
        <v/>
      </c>
      <c r="AK184" t="str">
        <f ca="1">IF(OR(B184="",VLOOKUP(BH184,step02图片链接!B:H,7,0)=""),"",VLOOKUP(BH184,step02图片链接!B:H,7,0))</f>
        <v/>
      </c>
      <c r="AL184" t="str">
        <f ca="1">IF(OR(B184="",VLOOKUP(BH184,step02图片链接!B:I,8,0)=""),"",VLOOKUP(BH184,step02图片链接!B:I,8,0))</f>
        <v/>
      </c>
      <c r="AM184" t="str">
        <f ca="1">IF(OR(B184="",VLOOKUP(BH184,step02图片链接!B:J,9,0)=""),"",VLOOKUP(BH184,step02图片链接!B:J,9,0))</f>
        <v/>
      </c>
      <c r="AN184" t="str">
        <f ca="1">IF(OR(B184="",VLOOKUP(BH184,step02图片链接!B:K,10,0)=""),"",VLOOKUP(BH184,step02图片链接!B:K,10,0))</f>
        <v/>
      </c>
      <c r="AO184" t="str">
        <f ca="1">IF(OR(B184="",VLOOKUP(BH184,step02图片链接!B:L,11,0)=""),"",VLOOKUP(BH184,step02图片链接!B:L,11,0))</f>
        <v/>
      </c>
      <c r="AP184" t="str">
        <f ca="1">IF(OR(B184="",VLOOKUP(BH184,step02图片链接!B:M,12,0)=""),"",VLOOKUP(BH184,step02图片链接!B:M,12,0))</f>
        <v/>
      </c>
      <c r="AQ184" t="str">
        <f ca="1">IF(OR(B184="",VLOOKUP(BH184,step02图片链接!B:N,13,0)=""),"",VLOOKUP(BH184,step02图片链接!B:N,13,0))</f>
        <v/>
      </c>
      <c r="AS184" t="str">
        <f t="shared" si="136"/>
        <v/>
      </c>
      <c r="AT184" t="str">
        <f t="shared" si="137"/>
        <v/>
      </c>
      <c r="AU184" t="str">
        <f t="shared" si="121"/>
        <v/>
      </c>
      <c r="AV184" t="str">
        <f>IF(B184="","",step01标题尺码信息!$T$36)</f>
        <v/>
      </c>
      <c r="AZ184" t="str">
        <f>IF(B184="","",step01标题尺码信息!$S$41)</f>
        <v/>
      </c>
      <c r="BA184" t="str">
        <f>IF(B184="","",step01标题尺码信息!$S$43)</f>
        <v/>
      </c>
      <c r="BB184" t="str">
        <f>IF(B184="","",step01标题尺码信息!$S$45)</f>
        <v/>
      </c>
      <c r="BC184" t="str">
        <f>IF(B184="","",step01标题尺码信息!$S$47)</f>
        <v/>
      </c>
      <c r="BD184" t="str">
        <f>IF(B184="","",step01标题尺码信息!$S$49)</f>
        <v/>
      </c>
      <c r="BE184" t="str">
        <f>IF(B184="","",step01标题尺码信息!$S$53)</f>
        <v/>
      </c>
      <c r="BH184" t="str">
        <f ca="1">IF(B184="","",IF(DX184="Parent","",VLOOKUP(B184,step01标题尺码信息!G:P,7,0)))</f>
        <v/>
      </c>
      <c r="BI184" t="str">
        <f ca="1">IF(B184="","",IF(DX184="Parent","",VLOOKUP(B184,step01标题尺码信息!G:P,8,0)))</f>
        <v/>
      </c>
      <c r="BK184" t="str">
        <f t="shared" si="122"/>
        <v/>
      </c>
      <c r="BL184" t="str">
        <f t="shared" si="123"/>
        <v/>
      </c>
      <c r="BO184" t="str">
        <f t="shared" si="124"/>
        <v/>
      </c>
      <c r="BR184" t="str">
        <f ca="1">IF(B184="","",IF(AS184="Parent","",VLOOKUP(B184,step01标题尺码信息!G:P,9,0)))</f>
        <v/>
      </c>
      <c r="CY184" t="str">
        <f t="shared" si="125"/>
        <v/>
      </c>
      <c r="DG184" t="str">
        <f>IF(B184="","",step01标题尺码信息!$T$30)</f>
        <v/>
      </c>
      <c r="DH184" t="str">
        <f t="shared" si="126"/>
        <v/>
      </c>
      <c r="DN184" t="str">
        <f ca="1" t="shared" si="127"/>
        <v/>
      </c>
      <c r="DW184" t="str">
        <f t="shared" si="128"/>
        <v/>
      </c>
      <c r="ER184" t="str">
        <f>IF(B184="","",step01标题尺码信息!$T$37)</f>
        <v/>
      </c>
      <c r="ES184" t="str">
        <f t="shared" si="129"/>
        <v/>
      </c>
      <c r="HF184" t="str">
        <f>IF(B184="","",step01标题尺码信息!$S$2)</f>
        <v/>
      </c>
      <c r="HH184" t="str">
        <f t="shared" si="130"/>
        <v/>
      </c>
      <c r="HI184" t="str">
        <f t="shared" si="131"/>
        <v/>
      </c>
      <c r="HL184" t="str">
        <f t="shared" si="132"/>
        <v/>
      </c>
      <c r="IA184" t="str">
        <f t="shared" si="133"/>
        <v/>
      </c>
    </row>
    <row r="185" spans="1:235">
      <c r="A185" t="str">
        <f>IF(B185="","",step01标题尺码信息!$B$3)</f>
        <v/>
      </c>
      <c r="B185" t="str">
        <f>IF(step01标题尺码信息!G187="","",step01标题尺码信息!G187)</f>
        <v/>
      </c>
      <c r="C185" t="str">
        <f>IF(B185="","",step01标题尺码信息!$E$3)</f>
        <v/>
      </c>
      <c r="D185" t="str">
        <f t="shared" si="115"/>
        <v/>
      </c>
      <c r="E185" t="str">
        <f ca="1">IF(B185="","",VLOOKUP(B185,step01标题尺码信息!G:P,4,0))</f>
        <v/>
      </c>
      <c r="H185" t="str">
        <f>IF(B185="","",step01标题尺码信息!$R$19)</f>
        <v/>
      </c>
      <c r="I185" t="str">
        <f t="shared" si="116"/>
        <v/>
      </c>
      <c r="M185" t="str">
        <f t="shared" si="117"/>
        <v/>
      </c>
      <c r="U185" t="str">
        <f>IF(B185="","",step01标题尺码信息!$S$1)</f>
        <v/>
      </c>
      <c r="V185" t="str">
        <f t="shared" si="118"/>
        <v/>
      </c>
      <c r="W185" t="str">
        <f>IF(B185="","",step01标题尺码信息!$V$1)</f>
        <v/>
      </c>
      <c r="X185" t="str">
        <f>IF(B185="","",step01标题尺码信息!$V$2)</f>
        <v/>
      </c>
      <c r="Y185" t="str">
        <f t="shared" si="119"/>
        <v/>
      </c>
      <c r="Z185" t="str">
        <f t="shared" si="120"/>
        <v/>
      </c>
      <c r="AA185" t="str">
        <f ca="1">IF(B185="","",IF(CB185="Parent","",VLOOKUP(B185,step01标题尺码信息!G:P,9,0)))</f>
        <v/>
      </c>
      <c r="AG185" t="str">
        <f t="shared" si="134"/>
        <v/>
      </c>
      <c r="AH185" t="str">
        <f t="shared" si="135"/>
        <v/>
      </c>
      <c r="AI185" t="str">
        <f ca="1">IF(OR(B185="",VLOOKUP(BH185,step02图片链接!B:E,4,0)=""),"",VLOOKUP(BH185,step02图片链接!B:E,4,0))</f>
        <v/>
      </c>
      <c r="AJ185" t="str">
        <f ca="1">IF(OR(B185="",VLOOKUP(BH185,step02图片链接!B:G,6,0)=""),"",VLOOKUP(BH185,step02图片链接!B:G,6,0))</f>
        <v/>
      </c>
      <c r="AK185" t="str">
        <f ca="1">IF(OR(B185="",VLOOKUP(BH185,step02图片链接!B:H,7,0)=""),"",VLOOKUP(BH185,step02图片链接!B:H,7,0))</f>
        <v/>
      </c>
      <c r="AL185" t="str">
        <f ca="1">IF(OR(B185="",VLOOKUP(BH185,step02图片链接!B:I,8,0)=""),"",VLOOKUP(BH185,step02图片链接!B:I,8,0))</f>
        <v/>
      </c>
      <c r="AM185" t="str">
        <f ca="1">IF(OR(B185="",VLOOKUP(BH185,step02图片链接!B:J,9,0)=""),"",VLOOKUP(BH185,step02图片链接!B:J,9,0))</f>
        <v/>
      </c>
      <c r="AN185" t="str">
        <f ca="1">IF(OR(B185="",VLOOKUP(BH185,step02图片链接!B:K,10,0)=""),"",VLOOKUP(BH185,step02图片链接!B:K,10,0))</f>
        <v/>
      </c>
      <c r="AO185" t="str">
        <f ca="1">IF(OR(B185="",VLOOKUP(BH185,step02图片链接!B:L,11,0)=""),"",VLOOKUP(BH185,step02图片链接!B:L,11,0))</f>
        <v/>
      </c>
      <c r="AP185" t="str">
        <f ca="1">IF(OR(B185="",VLOOKUP(BH185,step02图片链接!B:M,12,0)=""),"",VLOOKUP(BH185,step02图片链接!B:M,12,0))</f>
        <v/>
      </c>
      <c r="AQ185" t="str">
        <f ca="1">IF(OR(B185="",VLOOKUP(BH185,step02图片链接!B:N,13,0)=""),"",VLOOKUP(BH185,step02图片链接!B:N,13,0))</f>
        <v/>
      </c>
      <c r="AS185" t="str">
        <f t="shared" si="136"/>
        <v/>
      </c>
      <c r="AT185" t="str">
        <f t="shared" si="137"/>
        <v/>
      </c>
      <c r="AU185" t="str">
        <f t="shared" si="121"/>
        <v/>
      </c>
      <c r="AV185" t="str">
        <f>IF(B185="","",step01标题尺码信息!$T$36)</f>
        <v/>
      </c>
      <c r="AZ185" t="str">
        <f>IF(B185="","",step01标题尺码信息!$S$41)</f>
        <v/>
      </c>
      <c r="BA185" t="str">
        <f>IF(B185="","",step01标题尺码信息!$S$43)</f>
        <v/>
      </c>
      <c r="BB185" t="str">
        <f>IF(B185="","",step01标题尺码信息!$S$45)</f>
        <v/>
      </c>
      <c r="BC185" t="str">
        <f>IF(B185="","",step01标题尺码信息!$S$47)</f>
        <v/>
      </c>
      <c r="BD185" t="str">
        <f>IF(B185="","",step01标题尺码信息!$S$49)</f>
        <v/>
      </c>
      <c r="BE185" t="str">
        <f>IF(B185="","",step01标题尺码信息!$S$53)</f>
        <v/>
      </c>
      <c r="BH185" t="str">
        <f ca="1">IF(B185="","",IF(DX185="Parent","",VLOOKUP(B185,step01标题尺码信息!G:P,7,0)))</f>
        <v/>
      </c>
      <c r="BI185" t="str">
        <f ca="1">IF(B185="","",IF(DX185="Parent","",VLOOKUP(B185,step01标题尺码信息!G:P,8,0)))</f>
        <v/>
      </c>
      <c r="BK185" t="str">
        <f t="shared" si="122"/>
        <v/>
      </c>
      <c r="BL185" t="str">
        <f t="shared" si="123"/>
        <v/>
      </c>
      <c r="BO185" t="str">
        <f t="shared" si="124"/>
        <v/>
      </c>
      <c r="BR185" t="str">
        <f ca="1">IF(B185="","",IF(AS185="Parent","",VLOOKUP(B185,step01标题尺码信息!G:P,9,0)))</f>
        <v/>
      </c>
      <c r="CY185" t="str">
        <f t="shared" si="125"/>
        <v/>
      </c>
      <c r="DG185" t="str">
        <f>IF(B185="","",step01标题尺码信息!$T$30)</f>
        <v/>
      </c>
      <c r="DH185" t="str">
        <f t="shared" si="126"/>
        <v/>
      </c>
      <c r="DN185" t="str">
        <f ca="1" t="shared" si="127"/>
        <v/>
      </c>
      <c r="DW185" t="str">
        <f t="shared" si="128"/>
        <v/>
      </c>
      <c r="ER185" t="str">
        <f>IF(B185="","",step01标题尺码信息!$T$37)</f>
        <v/>
      </c>
      <c r="ES185" t="str">
        <f t="shared" si="129"/>
        <v/>
      </c>
      <c r="HF185" t="str">
        <f>IF(B185="","",step01标题尺码信息!$S$2)</f>
        <v/>
      </c>
      <c r="HH185" t="str">
        <f t="shared" si="130"/>
        <v/>
      </c>
      <c r="HI185" t="str">
        <f t="shared" si="131"/>
        <v/>
      </c>
      <c r="HL185" t="str">
        <f t="shared" si="132"/>
        <v/>
      </c>
      <c r="IA185" t="str">
        <f t="shared" si="133"/>
        <v/>
      </c>
    </row>
    <row r="186" spans="1:235">
      <c r="A186" t="str">
        <f>IF(B186="","",step01标题尺码信息!$B$3)</f>
        <v/>
      </c>
      <c r="B186" t="str">
        <f>IF(step01标题尺码信息!G188="","",step01标题尺码信息!G188)</f>
        <v/>
      </c>
      <c r="C186" t="str">
        <f>IF(B186="","",step01标题尺码信息!$E$3)</f>
        <v/>
      </c>
      <c r="D186" t="str">
        <f t="shared" si="115"/>
        <v/>
      </c>
      <c r="E186" t="str">
        <f ca="1">IF(B186="","",VLOOKUP(B186,step01标题尺码信息!G:P,4,0))</f>
        <v/>
      </c>
      <c r="H186" t="str">
        <f>IF(B186="","",step01标题尺码信息!$R$19)</f>
        <v/>
      </c>
      <c r="I186" t="str">
        <f t="shared" si="116"/>
        <v/>
      </c>
      <c r="M186" t="str">
        <f t="shared" si="117"/>
        <v/>
      </c>
      <c r="U186" t="str">
        <f>IF(B186="","",step01标题尺码信息!$S$1)</f>
        <v/>
      </c>
      <c r="V186" t="str">
        <f t="shared" si="118"/>
        <v/>
      </c>
      <c r="W186" t="str">
        <f>IF(B186="","",step01标题尺码信息!$V$1)</f>
        <v/>
      </c>
      <c r="X186" t="str">
        <f>IF(B186="","",step01标题尺码信息!$V$2)</f>
        <v/>
      </c>
      <c r="Y186" t="str">
        <f t="shared" si="119"/>
        <v/>
      </c>
      <c r="Z186" t="str">
        <f t="shared" si="120"/>
        <v/>
      </c>
      <c r="AA186" t="str">
        <f ca="1">IF(B186="","",IF(CB186="Parent","",VLOOKUP(B186,step01标题尺码信息!G:P,9,0)))</f>
        <v/>
      </c>
      <c r="AG186" t="str">
        <f t="shared" si="134"/>
        <v/>
      </c>
      <c r="AH186" t="str">
        <f t="shared" si="135"/>
        <v/>
      </c>
      <c r="AI186" t="str">
        <f ca="1">IF(OR(B186="",VLOOKUP(BH186,step02图片链接!B:E,4,0)=""),"",VLOOKUP(BH186,step02图片链接!B:E,4,0))</f>
        <v/>
      </c>
      <c r="AJ186" t="str">
        <f ca="1">IF(OR(B186="",VLOOKUP(BH186,step02图片链接!B:G,6,0)=""),"",VLOOKUP(BH186,step02图片链接!B:G,6,0))</f>
        <v/>
      </c>
      <c r="AK186" t="str">
        <f ca="1">IF(OR(B186="",VLOOKUP(BH186,step02图片链接!B:H,7,0)=""),"",VLOOKUP(BH186,step02图片链接!B:H,7,0))</f>
        <v/>
      </c>
      <c r="AL186" t="str">
        <f ca="1">IF(OR(B186="",VLOOKUP(BH186,step02图片链接!B:I,8,0)=""),"",VLOOKUP(BH186,step02图片链接!B:I,8,0))</f>
        <v/>
      </c>
      <c r="AM186" t="str">
        <f ca="1">IF(OR(B186="",VLOOKUP(BH186,step02图片链接!B:J,9,0)=""),"",VLOOKUP(BH186,step02图片链接!B:J,9,0))</f>
        <v/>
      </c>
      <c r="AN186" t="str">
        <f ca="1">IF(OR(B186="",VLOOKUP(BH186,step02图片链接!B:K,10,0)=""),"",VLOOKUP(BH186,step02图片链接!B:K,10,0))</f>
        <v/>
      </c>
      <c r="AO186" t="str">
        <f ca="1">IF(OR(B186="",VLOOKUP(BH186,step02图片链接!B:L,11,0)=""),"",VLOOKUP(BH186,step02图片链接!B:L,11,0))</f>
        <v/>
      </c>
      <c r="AP186" t="str">
        <f ca="1">IF(OR(B186="",VLOOKUP(BH186,step02图片链接!B:M,12,0)=""),"",VLOOKUP(BH186,step02图片链接!B:M,12,0))</f>
        <v/>
      </c>
      <c r="AQ186" t="str">
        <f ca="1">IF(OR(B186="",VLOOKUP(BH186,step02图片链接!B:N,13,0)=""),"",VLOOKUP(BH186,step02图片链接!B:N,13,0))</f>
        <v/>
      </c>
      <c r="AS186" t="str">
        <f t="shared" si="136"/>
        <v/>
      </c>
      <c r="AT186" t="str">
        <f t="shared" si="137"/>
        <v/>
      </c>
      <c r="AU186" t="str">
        <f t="shared" si="121"/>
        <v/>
      </c>
      <c r="AV186" t="str">
        <f>IF(B186="","",step01标题尺码信息!$T$36)</f>
        <v/>
      </c>
      <c r="AZ186" t="str">
        <f>IF(B186="","",step01标题尺码信息!$S$41)</f>
        <v/>
      </c>
      <c r="BA186" t="str">
        <f>IF(B186="","",step01标题尺码信息!$S$43)</f>
        <v/>
      </c>
      <c r="BB186" t="str">
        <f>IF(B186="","",step01标题尺码信息!$S$45)</f>
        <v/>
      </c>
      <c r="BC186" t="str">
        <f>IF(B186="","",step01标题尺码信息!$S$47)</f>
        <v/>
      </c>
      <c r="BD186" t="str">
        <f>IF(B186="","",step01标题尺码信息!$S$49)</f>
        <v/>
      </c>
      <c r="BE186" t="str">
        <f>IF(B186="","",step01标题尺码信息!$S$53)</f>
        <v/>
      </c>
      <c r="BH186" t="str">
        <f ca="1">IF(B186="","",IF(DX186="Parent","",VLOOKUP(B186,step01标题尺码信息!G:P,7,0)))</f>
        <v/>
      </c>
      <c r="BI186" t="str">
        <f ca="1">IF(B186="","",IF(DX186="Parent","",VLOOKUP(B186,step01标题尺码信息!G:P,8,0)))</f>
        <v/>
      </c>
      <c r="BK186" t="str">
        <f t="shared" si="122"/>
        <v/>
      </c>
      <c r="BL186" t="str">
        <f t="shared" si="123"/>
        <v/>
      </c>
      <c r="BO186" t="str">
        <f t="shared" si="124"/>
        <v/>
      </c>
      <c r="BR186" t="str">
        <f ca="1">IF(B186="","",IF(AS186="Parent","",VLOOKUP(B186,step01标题尺码信息!G:P,9,0)))</f>
        <v/>
      </c>
      <c r="CY186" t="str">
        <f t="shared" si="125"/>
        <v/>
      </c>
      <c r="DG186" t="str">
        <f>IF(B186="","",step01标题尺码信息!$T$30)</f>
        <v/>
      </c>
      <c r="DH186" t="str">
        <f t="shared" si="126"/>
        <v/>
      </c>
      <c r="DN186" t="str">
        <f ca="1" t="shared" si="127"/>
        <v/>
      </c>
      <c r="DW186" t="str">
        <f t="shared" si="128"/>
        <v/>
      </c>
      <c r="ER186" t="str">
        <f>IF(B186="","",step01标题尺码信息!$T$37)</f>
        <v/>
      </c>
      <c r="ES186" t="str">
        <f t="shared" si="129"/>
        <v/>
      </c>
      <c r="HF186" t="str">
        <f>IF(B186="","",step01标题尺码信息!$S$2)</f>
        <v/>
      </c>
      <c r="HH186" t="str">
        <f t="shared" si="130"/>
        <v/>
      </c>
      <c r="HI186" t="str">
        <f t="shared" si="131"/>
        <v/>
      </c>
      <c r="HL186" t="str">
        <f t="shared" si="132"/>
        <v/>
      </c>
      <c r="IA186" t="str">
        <f t="shared" si="133"/>
        <v/>
      </c>
    </row>
    <row r="187" spans="1:235">
      <c r="A187" t="str">
        <f>IF(B187="","",step01标题尺码信息!$B$3)</f>
        <v/>
      </c>
      <c r="B187" t="str">
        <f>IF(step01标题尺码信息!G189="","",step01标题尺码信息!G189)</f>
        <v/>
      </c>
      <c r="C187" t="str">
        <f>IF(B187="","",step01标题尺码信息!$E$3)</f>
        <v/>
      </c>
      <c r="D187" t="str">
        <f t="shared" si="115"/>
        <v/>
      </c>
      <c r="E187" t="str">
        <f ca="1">IF(B187="","",VLOOKUP(B187,step01标题尺码信息!G:P,4,0))</f>
        <v/>
      </c>
      <c r="H187" t="str">
        <f>IF(B187="","",step01标题尺码信息!$R$19)</f>
        <v/>
      </c>
      <c r="I187" t="str">
        <f t="shared" si="116"/>
        <v/>
      </c>
      <c r="M187" t="str">
        <f t="shared" si="117"/>
        <v/>
      </c>
      <c r="U187" t="str">
        <f>IF(B187="","",step01标题尺码信息!$S$1)</f>
        <v/>
      </c>
      <c r="V187" t="str">
        <f t="shared" si="118"/>
        <v/>
      </c>
      <c r="W187" t="str">
        <f>IF(B187="","",step01标题尺码信息!$V$1)</f>
        <v/>
      </c>
      <c r="X187" t="str">
        <f>IF(B187="","",step01标题尺码信息!$V$2)</f>
        <v/>
      </c>
      <c r="Y187" t="str">
        <f t="shared" si="119"/>
        <v/>
      </c>
      <c r="Z187" t="str">
        <f t="shared" si="120"/>
        <v/>
      </c>
      <c r="AA187" t="str">
        <f ca="1">IF(B187="","",IF(CB187="Parent","",VLOOKUP(B187,step01标题尺码信息!G:P,9,0)))</f>
        <v/>
      </c>
      <c r="AG187" t="str">
        <f t="shared" si="134"/>
        <v/>
      </c>
      <c r="AH187" t="str">
        <f t="shared" si="135"/>
        <v/>
      </c>
      <c r="AI187" t="str">
        <f ca="1">IF(OR(B187="",VLOOKUP(BH187,step02图片链接!B:E,4,0)=""),"",VLOOKUP(BH187,step02图片链接!B:E,4,0))</f>
        <v/>
      </c>
      <c r="AJ187" t="str">
        <f ca="1">IF(OR(B187="",VLOOKUP(BH187,step02图片链接!B:G,6,0)=""),"",VLOOKUP(BH187,step02图片链接!B:G,6,0))</f>
        <v/>
      </c>
      <c r="AK187" t="str">
        <f ca="1">IF(OR(B187="",VLOOKUP(BH187,step02图片链接!B:H,7,0)=""),"",VLOOKUP(BH187,step02图片链接!B:H,7,0))</f>
        <v/>
      </c>
      <c r="AL187" t="str">
        <f ca="1">IF(OR(B187="",VLOOKUP(BH187,step02图片链接!B:I,8,0)=""),"",VLOOKUP(BH187,step02图片链接!B:I,8,0))</f>
        <v/>
      </c>
      <c r="AM187" t="str">
        <f ca="1">IF(OR(B187="",VLOOKUP(BH187,step02图片链接!B:J,9,0)=""),"",VLOOKUP(BH187,step02图片链接!B:J,9,0))</f>
        <v/>
      </c>
      <c r="AN187" t="str">
        <f ca="1">IF(OR(B187="",VLOOKUP(BH187,step02图片链接!B:K,10,0)=""),"",VLOOKUP(BH187,step02图片链接!B:K,10,0))</f>
        <v/>
      </c>
      <c r="AO187" t="str">
        <f ca="1">IF(OR(B187="",VLOOKUP(BH187,step02图片链接!B:L,11,0)=""),"",VLOOKUP(BH187,step02图片链接!B:L,11,0))</f>
        <v/>
      </c>
      <c r="AP187" t="str">
        <f ca="1">IF(OR(B187="",VLOOKUP(BH187,step02图片链接!B:M,12,0)=""),"",VLOOKUP(BH187,step02图片链接!B:M,12,0))</f>
        <v/>
      </c>
      <c r="AQ187" t="str">
        <f ca="1">IF(OR(B187="",VLOOKUP(BH187,step02图片链接!B:N,13,0)=""),"",VLOOKUP(BH187,step02图片链接!B:N,13,0))</f>
        <v/>
      </c>
      <c r="AS187" t="str">
        <f t="shared" si="136"/>
        <v/>
      </c>
      <c r="AT187" t="str">
        <f t="shared" si="137"/>
        <v/>
      </c>
      <c r="AU187" t="str">
        <f t="shared" si="121"/>
        <v/>
      </c>
      <c r="AV187" t="str">
        <f>IF(B187="","",step01标题尺码信息!$T$36)</f>
        <v/>
      </c>
      <c r="AZ187" t="str">
        <f>IF(B187="","",step01标题尺码信息!$S$41)</f>
        <v/>
      </c>
      <c r="BA187" t="str">
        <f>IF(B187="","",step01标题尺码信息!$S$43)</f>
        <v/>
      </c>
      <c r="BB187" t="str">
        <f>IF(B187="","",step01标题尺码信息!$S$45)</f>
        <v/>
      </c>
      <c r="BC187" t="str">
        <f>IF(B187="","",step01标题尺码信息!$S$47)</f>
        <v/>
      </c>
      <c r="BD187" t="str">
        <f>IF(B187="","",step01标题尺码信息!$S$49)</f>
        <v/>
      </c>
      <c r="BE187" t="str">
        <f>IF(B187="","",step01标题尺码信息!$S$53)</f>
        <v/>
      </c>
      <c r="BH187" t="str">
        <f ca="1">IF(B187="","",IF(DX187="Parent","",VLOOKUP(B187,step01标题尺码信息!G:P,7,0)))</f>
        <v/>
      </c>
      <c r="BI187" t="str">
        <f ca="1">IF(B187="","",IF(DX187="Parent","",VLOOKUP(B187,step01标题尺码信息!G:P,8,0)))</f>
        <v/>
      </c>
      <c r="BK187" t="str">
        <f t="shared" si="122"/>
        <v/>
      </c>
      <c r="BL187" t="str">
        <f t="shared" si="123"/>
        <v/>
      </c>
      <c r="BO187" t="str">
        <f t="shared" si="124"/>
        <v/>
      </c>
      <c r="BR187" t="str">
        <f ca="1">IF(B187="","",IF(AS187="Parent","",VLOOKUP(B187,step01标题尺码信息!G:P,9,0)))</f>
        <v/>
      </c>
      <c r="CY187" t="str">
        <f t="shared" si="125"/>
        <v/>
      </c>
      <c r="DG187" t="str">
        <f>IF(B187="","",step01标题尺码信息!$T$30)</f>
        <v/>
      </c>
      <c r="DH187" t="str">
        <f t="shared" si="126"/>
        <v/>
      </c>
      <c r="DN187" t="str">
        <f ca="1" t="shared" si="127"/>
        <v/>
      </c>
      <c r="DW187" t="str">
        <f t="shared" si="128"/>
        <v/>
      </c>
      <c r="ER187" t="str">
        <f>IF(B187="","",step01标题尺码信息!$T$37)</f>
        <v/>
      </c>
      <c r="ES187" t="str">
        <f t="shared" si="129"/>
        <v/>
      </c>
      <c r="HF187" t="str">
        <f>IF(B187="","",step01标题尺码信息!$S$2)</f>
        <v/>
      </c>
      <c r="HH187" t="str">
        <f t="shared" si="130"/>
        <v/>
      </c>
      <c r="HI187" t="str">
        <f t="shared" si="131"/>
        <v/>
      </c>
      <c r="HL187" t="str">
        <f t="shared" si="132"/>
        <v/>
      </c>
      <c r="IA187" t="str">
        <f t="shared" si="133"/>
        <v/>
      </c>
    </row>
    <row r="188" spans="1:235">
      <c r="A188" t="str">
        <f>IF(B188="","",step01标题尺码信息!$B$3)</f>
        <v/>
      </c>
      <c r="B188" t="str">
        <f>IF(step01标题尺码信息!G190="","",step01标题尺码信息!G190)</f>
        <v/>
      </c>
      <c r="C188" t="str">
        <f>IF(B188="","",step01标题尺码信息!$E$3)</f>
        <v/>
      </c>
      <c r="D188" t="str">
        <f t="shared" si="115"/>
        <v/>
      </c>
      <c r="E188" t="str">
        <f ca="1">IF(B188="","",VLOOKUP(B188,step01标题尺码信息!G:P,4,0))</f>
        <v/>
      </c>
      <c r="H188" t="str">
        <f>IF(B188="","",step01标题尺码信息!$R$19)</f>
        <v/>
      </c>
      <c r="I188" t="str">
        <f t="shared" si="116"/>
        <v/>
      </c>
      <c r="M188" t="str">
        <f t="shared" si="117"/>
        <v/>
      </c>
      <c r="U188" t="str">
        <f>IF(B188="","",step01标题尺码信息!$S$1)</f>
        <v/>
      </c>
      <c r="V188" t="str">
        <f t="shared" si="118"/>
        <v/>
      </c>
      <c r="W188" t="str">
        <f>IF(B188="","",step01标题尺码信息!$V$1)</f>
        <v/>
      </c>
      <c r="X188" t="str">
        <f>IF(B188="","",step01标题尺码信息!$V$2)</f>
        <v/>
      </c>
      <c r="Y188" t="str">
        <f t="shared" si="119"/>
        <v/>
      </c>
      <c r="Z188" t="str">
        <f t="shared" si="120"/>
        <v/>
      </c>
      <c r="AA188" t="str">
        <f ca="1">IF(B188="","",IF(CB188="Parent","",VLOOKUP(B188,step01标题尺码信息!G:P,9,0)))</f>
        <v/>
      </c>
      <c r="AG188" t="str">
        <f t="shared" si="134"/>
        <v/>
      </c>
      <c r="AH188" t="str">
        <f t="shared" si="135"/>
        <v/>
      </c>
      <c r="AI188" t="str">
        <f ca="1">IF(OR(B188="",VLOOKUP(BH188,step02图片链接!B:E,4,0)=""),"",VLOOKUP(BH188,step02图片链接!B:E,4,0))</f>
        <v/>
      </c>
      <c r="AJ188" t="str">
        <f ca="1">IF(OR(B188="",VLOOKUP(BH188,step02图片链接!B:G,6,0)=""),"",VLOOKUP(BH188,step02图片链接!B:G,6,0))</f>
        <v/>
      </c>
      <c r="AK188" t="str">
        <f ca="1">IF(OR(B188="",VLOOKUP(BH188,step02图片链接!B:H,7,0)=""),"",VLOOKUP(BH188,step02图片链接!B:H,7,0))</f>
        <v/>
      </c>
      <c r="AL188" t="str">
        <f ca="1">IF(OR(B188="",VLOOKUP(BH188,step02图片链接!B:I,8,0)=""),"",VLOOKUP(BH188,step02图片链接!B:I,8,0))</f>
        <v/>
      </c>
      <c r="AM188" t="str">
        <f ca="1">IF(OR(B188="",VLOOKUP(BH188,step02图片链接!B:J,9,0)=""),"",VLOOKUP(BH188,step02图片链接!B:J,9,0))</f>
        <v/>
      </c>
      <c r="AN188" t="str">
        <f ca="1">IF(OR(B188="",VLOOKUP(BH188,step02图片链接!B:K,10,0)=""),"",VLOOKUP(BH188,step02图片链接!B:K,10,0))</f>
        <v/>
      </c>
      <c r="AO188" t="str">
        <f ca="1">IF(OR(B188="",VLOOKUP(BH188,step02图片链接!B:L,11,0)=""),"",VLOOKUP(BH188,step02图片链接!B:L,11,0))</f>
        <v/>
      </c>
      <c r="AP188" t="str">
        <f ca="1">IF(OR(B188="",VLOOKUP(BH188,step02图片链接!B:M,12,0)=""),"",VLOOKUP(BH188,step02图片链接!B:M,12,0))</f>
        <v/>
      </c>
      <c r="AQ188" t="str">
        <f ca="1">IF(OR(B188="",VLOOKUP(BH188,step02图片链接!B:N,13,0)=""),"",VLOOKUP(BH188,step02图片链接!B:N,13,0))</f>
        <v/>
      </c>
      <c r="AS188" t="str">
        <f t="shared" si="136"/>
        <v/>
      </c>
      <c r="AT188" t="str">
        <f t="shared" si="137"/>
        <v/>
      </c>
      <c r="AU188" t="str">
        <f t="shared" si="121"/>
        <v/>
      </c>
      <c r="AV188" t="str">
        <f>IF(B188="","",step01标题尺码信息!$T$36)</f>
        <v/>
      </c>
      <c r="AZ188" t="str">
        <f>IF(B188="","",step01标题尺码信息!$S$41)</f>
        <v/>
      </c>
      <c r="BA188" t="str">
        <f>IF(B188="","",step01标题尺码信息!$S$43)</f>
        <v/>
      </c>
      <c r="BB188" t="str">
        <f>IF(B188="","",step01标题尺码信息!$S$45)</f>
        <v/>
      </c>
      <c r="BC188" t="str">
        <f>IF(B188="","",step01标题尺码信息!$S$47)</f>
        <v/>
      </c>
      <c r="BD188" t="str">
        <f>IF(B188="","",step01标题尺码信息!$S$49)</f>
        <v/>
      </c>
      <c r="BE188" t="str">
        <f>IF(B188="","",step01标题尺码信息!$S$53)</f>
        <v/>
      </c>
      <c r="BH188" t="str">
        <f ca="1">IF(B188="","",IF(DX188="Parent","",VLOOKUP(B188,step01标题尺码信息!G:P,7,0)))</f>
        <v/>
      </c>
      <c r="BI188" t="str">
        <f ca="1">IF(B188="","",IF(DX188="Parent","",VLOOKUP(B188,step01标题尺码信息!G:P,8,0)))</f>
        <v/>
      </c>
      <c r="BK188" t="str">
        <f t="shared" si="122"/>
        <v/>
      </c>
      <c r="BL188" t="str">
        <f t="shared" si="123"/>
        <v/>
      </c>
      <c r="BO188" t="str">
        <f t="shared" si="124"/>
        <v/>
      </c>
      <c r="BR188" t="str">
        <f ca="1">IF(B188="","",IF(AS188="Parent","",VLOOKUP(B188,step01标题尺码信息!G:P,9,0)))</f>
        <v/>
      </c>
      <c r="CY188" t="str">
        <f t="shared" si="125"/>
        <v/>
      </c>
      <c r="DG188" t="str">
        <f>IF(B188="","",step01标题尺码信息!$T$30)</f>
        <v/>
      </c>
      <c r="DH188" t="str">
        <f t="shared" si="126"/>
        <v/>
      </c>
      <c r="DN188" t="str">
        <f ca="1" t="shared" si="127"/>
        <v/>
      </c>
      <c r="DW188" t="str">
        <f t="shared" si="128"/>
        <v/>
      </c>
      <c r="ER188" t="str">
        <f>IF(B188="","",step01标题尺码信息!$T$37)</f>
        <v/>
      </c>
      <c r="ES188" t="str">
        <f t="shared" si="129"/>
        <v/>
      </c>
      <c r="HF188" t="str">
        <f>IF(B188="","",step01标题尺码信息!$S$2)</f>
        <v/>
      </c>
      <c r="HH188" t="str">
        <f t="shared" si="130"/>
        <v/>
      </c>
      <c r="HI188" t="str">
        <f t="shared" si="131"/>
        <v/>
      </c>
      <c r="HL188" t="str">
        <f t="shared" si="132"/>
        <v/>
      </c>
      <c r="IA188" t="str">
        <f t="shared" si="133"/>
        <v/>
      </c>
    </row>
    <row r="189" spans="1:235">
      <c r="A189" t="str">
        <f>IF(B189="","",step01标题尺码信息!$B$3)</f>
        <v/>
      </c>
      <c r="B189" t="str">
        <f>IF(step01标题尺码信息!G191="","",step01标题尺码信息!G191)</f>
        <v/>
      </c>
      <c r="C189" t="str">
        <f>IF(B189="","",step01标题尺码信息!$E$3)</f>
        <v/>
      </c>
      <c r="D189" t="str">
        <f t="shared" si="115"/>
        <v/>
      </c>
      <c r="E189" t="str">
        <f ca="1">IF(B189="","",VLOOKUP(B189,step01标题尺码信息!G:P,4,0))</f>
        <v/>
      </c>
      <c r="H189" t="str">
        <f>IF(B189="","",step01标题尺码信息!$R$19)</f>
        <v/>
      </c>
      <c r="I189" t="str">
        <f t="shared" si="116"/>
        <v/>
      </c>
      <c r="M189" t="str">
        <f t="shared" si="117"/>
        <v/>
      </c>
      <c r="U189" t="str">
        <f>IF(B189="","",step01标题尺码信息!$S$1)</f>
        <v/>
      </c>
      <c r="V189" t="str">
        <f t="shared" si="118"/>
        <v/>
      </c>
      <c r="W189" t="str">
        <f>IF(B189="","",step01标题尺码信息!$V$1)</f>
        <v/>
      </c>
      <c r="X189" t="str">
        <f>IF(B189="","",step01标题尺码信息!$V$2)</f>
        <v/>
      </c>
      <c r="Y189" t="str">
        <f t="shared" si="119"/>
        <v/>
      </c>
      <c r="Z189" t="str">
        <f t="shared" si="120"/>
        <v/>
      </c>
      <c r="AA189" t="str">
        <f ca="1">IF(B189="","",IF(CB189="Parent","",VLOOKUP(B189,step01标题尺码信息!G:P,9,0)))</f>
        <v/>
      </c>
      <c r="AG189" t="str">
        <f t="shared" si="134"/>
        <v/>
      </c>
      <c r="AH189" t="str">
        <f t="shared" si="135"/>
        <v/>
      </c>
      <c r="AI189" t="str">
        <f ca="1">IF(OR(B189="",VLOOKUP(BH189,step02图片链接!B:E,4,0)=""),"",VLOOKUP(BH189,step02图片链接!B:E,4,0))</f>
        <v/>
      </c>
      <c r="AJ189" t="str">
        <f ca="1">IF(OR(B189="",VLOOKUP(BH189,step02图片链接!B:G,6,0)=""),"",VLOOKUP(BH189,step02图片链接!B:G,6,0))</f>
        <v/>
      </c>
      <c r="AK189" t="str">
        <f ca="1">IF(OR(B189="",VLOOKUP(BH189,step02图片链接!B:H,7,0)=""),"",VLOOKUP(BH189,step02图片链接!B:H,7,0))</f>
        <v/>
      </c>
      <c r="AL189" t="str">
        <f ca="1">IF(OR(B189="",VLOOKUP(BH189,step02图片链接!B:I,8,0)=""),"",VLOOKUP(BH189,step02图片链接!B:I,8,0))</f>
        <v/>
      </c>
      <c r="AM189" t="str">
        <f ca="1">IF(OR(B189="",VLOOKUP(BH189,step02图片链接!B:J,9,0)=""),"",VLOOKUP(BH189,step02图片链接!B:J,9,0))</f>
        <v/>
      </c>
      <c r="AN189" t="str">
        <f ca="1">IF(OR(B189="",VLOOKUP(BH189,step02图片链接!B:K,10,0)=""),"",VLOOKUP(BH189,step02图片链接!B:K,10,0))</f>
        <v/>
      </c>
      <c r="AO189" t="str">
        <f ca="1">IF(OR(B189="",VLOOKUP(BH189,step02图片链接!B:L,11,0)=""),"",VLOOKUP(BH189,step02图片链接!B:L,11,0))</f>
        <v/>
      </c>
      <c r="AP189" t="str">
        <f ca="1">IF(OR(B189="",VLOOKUP(BH189,step02图片链接!B:M,12,0)=""),"",VLOOKUP(BH189,step02图片链接!B:M,12,0))</f>
        <v/>
      </c>
      <c r="AQ189" t="str">
        <f ca="1">IF(OR(B189="",VLOOKUP(BH189,step02图片链接!B:N,13,0)=""),"",VLOOKUP(BH189,step02图片链接!B:N,13,0))</f>
        <v/>
      </c>
      <c r="AS189" t="str">
        <f t="shared" si="136"/>
        <v/>
      </c>
      <c r="AT189" t="str">
        <f t="shared" si="137"/>
        <v/>
      </c>
      <c r="AU189" t="str">
        <f t="shared" si="121"/>
        <v/>
      </c>
      <c r="AV189" t="str">
        <f>IF(B189="","",step01标题尺码信息!$T$36)</f>
        <v/>
      </c>
      <c r="AZ189" t="str">
        <f>IF(B189="","",step01标题尺码信息!$S$41)</f>
        <v/>
      </c>
      <c r="BA189" t="str">
        <f>IF(B189="","",step01标题尺码信息!$S$43)</f>
        <v/>
      </c>
      <c r="BB189" t="str">
        <f>IF(B189="","",step01标题尺码信息!$S$45)</f>
        <v/>
      </c>
      <c r="BC189" t="str">
        <f>IF(B189="","",step01标题尺码信息!$S$47)</f>
        <v/>
      </c>
      <c r="BD189" t="str">
        <f>IF(B189="","",step01标题尺码信息!$S$49)</f>
        <v/>
      </c>
      <c r="BE189" t="str">
        <f>IF(B189="","",step01标题尺码信息!$S$53)</f>
        <v/>
      </c>
      <c r="BH189" t="str">
        <f ca="1">IF(B189="","",IF(DX189="Parent","",VLOOKUP(B189,step01标题尺码信息!G:P,7,0)))</f>
        <v/>
      </c>
      <c r="BI189" t="str">
        <f ca="1">IF(B189="","",IF(DX189="Parent","",VLOOKUP(B189,step01标题尺码信息!G:P,8,0)))</f>
        <v/>
      </c>
      <c r="BK189" t="str">
        <f t="shared" si="122"/>
        <v/>
      </c>
      <c r="BL189" t="str">
        <f t="shared" si="123"/>
        <v/>
      </c>
      <c r="BO189" t="str">
        <f t="shared" si="124"/>
        <v/>
      </c>
      <c r="BR189" t="str">
        <f ca="1">IF(B189="","",IF(AS189="Parent","",VLOOKUP(B189,step01标题尺码信息!G:P,9,0)))</f>
        <v/>
      </c>
      <c r="CY189" t="str">
        <f t="shared" si="125"/>
        <v/>
      </c>
      <c r="DG189" t="str">
        <f>IF(B189="","",step01标题尺码信息!$T$30)</f>
        <v/>
      </c>
      <c r="DH189" t="str">
        <f t="shared" si="126"/>
        <v/>
      </c>
      <c r="DN189" t="str">
        <f ca="1" t="shared" si="127"/>
        <v/>
      </c>
      <c r="DW189" t="str">
        <f t="shared" si="128"/>
        <v/>
      </c>
      <c r="ER189" t="str">
        <f>IF(B189="","",step01标题尺码信息!$T$37)</f>
        <v/>
      </c>
      <c r="ES189" t="str">
        <f t="shared" si="129"/>
        <v/>
      </c>
      <c r="HF189" t="str">
        <f>IF(B189="","",step01标题尺码信息!$S$2)</f>
        <v/>
      </c>
      <c r="HH189" t="str">
        <f t="shared" si="130"/>
        <v/>
      </c>
      <c r="HI189" t="str">
        <f t="shared" si="131"/>
        <v/>
      </c>
      <c r="HL189" t="str">
        <f t="shared" si="132"/>
        <v/>
      </c>
      <c r="IA189" t="str">
        <f t="shared" si="133"/>
        <v/>
      </c>
    </row>
    <row r="190" spans="1:235">
      <c r="A190" t="str">
        <f>IF(B190="","",step01标题尺码信息!$B$3)</f>
        <v/>
      </c>
      <c r="B190" t="str">
        <f>IF(step01标题尺码信息!G192="","",step01标题尺码信息!G192)</f>
        <v/>
      </c>
      <c r="C190" t="str">
        <f>IF(B190="","",step01标题尺码信息!$E$3)</f>
        <v/>
      </c>
      <c r="D190" t="str">
        <f t="shared" si="115"/>
        <v/>
      </c>
      <c r="E190" t="str">
        <f ca="1">IF(B190="","",VLOOKUP(B190,step01标题尺码信息!G:P,4,0))</f>
        <v/>
      </c>
      <c r="H190" t="str">
        <f>IF(B190="","",step01标题尺码信息!$R$19)</f>
        <v/>
      </c>
      <c r="I190" t="str">
        <f t="shared" si="116"/>
        <v/>
      </c>
      <c r="M190" t="str">
        <f t="shared" si="117"/>
        <v/>
      </c>
      <c r="U190" t="str">
        <f>IF(B190="","",step01标题尺码信息!$S$1)</f>
        <v/>
      </c>
      <c r="V190" t="str">
        <f t="shared" si="118"/>
        <v/>
      </c>
      <c r="W190" t="str">
        <f>IF(B190="","",step01标题尺码信息!$V$1)</f>
        <v/>
      </c>
      <c r="X190" t="str">
        <f>IF(B190="","",step01标题尺码信息!$V$2)</f>
        <v/>
      </c>
      <c r="Y190" t="str">
        <f t="shared" si="119"/>
        <v/>
      </c>
      <c r="Z190" t="str">
        <f t="shared" si="120"/>
        <v/>
      </c>
      <c r="AA190" t="str">
        <f ca="1">IF(B190="","",IF(CB190="Parent","",VLOOKUP(B190,step01标题尺码信息!G:P,9,0)))</f>
        <v/>
      </c>
      <c r="AG190" t="str">
        <f t="shared" si="134"/>
        <v/>
      </c>
      <c r="AH190" t="str">
        <f t="shared" si="135"/>
        <v/>
      </c>
      <c r="AI190" t="str">
        <f ca="1">IF(OR(B190="",VLOOKUP(BH190,step02图片链接!B:E,4,0)=""),"",VLOOKUP(BH190,step02图片链接!B:E,4,0))</f>
        <v/>
      </c>
      <c r="AJ190" t="str">
        <f ca="1">IF(OR(B190="",VLOOKUP(BH190,step02图片链接!B:G,6,0)=""),"",VLOOKUP(BH190,step02图片链接!B:G,6,0))</f>
        <v/>
      </c>
      <c r="AK190" t="str">
        <f ca="1">IF(OR(B190="",VLOOKUP(BH190,step02图片链接!B:H,7,0)=""),"",VLOOKUP(BH190,step02图片链接!B:H,7,0))</f>
        <v/>
      </c>
      <c r="AL190" t="str">
        <f ca="1">IF(OR(B190="",VLOOKUP(BH190,step02图片链接!B:I,8,0)=""),"",VLOOKUP(BH190,step02图片链接!B:I,8,0))</f>
        <v/>
      </c>
      <c r="AM190" t="str">
        <f ca="1">IF(OR(B190="",VLOOKUP(BH190,step02图片链接!B:J,9,0)=""),"",VLOOKUP(BH190,step02图片链接!B:J,9,0))</f>
        <v/>
      </c>
      <c r="AN190" t="str">
        <f ca="1">IF(OR(B190="",VLOOKUP(BH190,step02图片链接!B:K,10,0)=""),"",VLOOKUP(BH190,step02图片链接!B:K,10,0))</f>
        <v/>
      </c>
      <c r="AO190" t="str">
        <f ca="1">IF(OR(B190="",VLOOKUP(BH190,step02图片链接!B:L,11,0)=""),"",VLOOKUP(BH190,step02图片链接!B:L,11,0))</f>
        <v/>
      </c>
      <c r="AP190" t="str">
        <f ca="1">IF(OR(B190="",VLOOKUP(BH190,step02图片链接!B:M,12,0)=""),"",VLOOKUP(BH190,step02图片链接!B:M,12,0))</f>
        <v/>
      </c>
      <c r="AQ190" t="str">
        <f ca="1">IF(OR(B190="",VLOOKUP(BH190,step02图片链接!B:N,13,0)=""),"",VLOOKUP(BH190,step02图片链接!B:N,13,0))</f>
        <v/>
      </c>
      <c r="AS190" t="str">
        <f t="shared" si="136"/>
        <v/>
      </c>
      <c r="AT190" t="str">
        <f t="shared" si="137"/>
        <v/>
      </c>
      <c r="AU190" t="str">
        <f t="shared" si="121"/>
        <v/>
      </c>
      <c r="AV190" t="str">
        <f>IF(B190="","",step01标题尺码信息!$T$36)</f>
        <v/>
      </c>
      <c r="AZ190" t="str">
        <f>IF(B190="","",step01标题尺码信息!$S$41)</f>
        <v/>
      </c>
      <c r="BA190" t="str">
        <f>IF(B190="","",step01标题尺码信息!$S$43)</f>
        <v/>
      </c>
      <c r="BB190" t="str">
        <f>IF(B190="","",step01标题尺码信息!$S$45)</f>
        <v/>
      </c>
      <c r="BC190" t="str">
        <f>IF(B190="","",step01标题尺码信息!$S$47)</f>
        <v/>
      </c>
      <c r="BD190" t="str">
        <f>IF(B190="","",step01标题尺码信息!$S$49)</f>
        <v/>
      </c>
      <c r="BE190" t="str">
        <f>IF(B190="","",step01标题尺码信息!$S$53)</f>
        <v/>
      </c>
      <c r="BH190" t="str">
        <f ca="1">IF(B190="","",IF(DX190="Parent","",VLOOKUP(B190,step01标题尺码信息!G:P,7,0)))</f>
        <v/>
      </c>
      <c r="BI190" t="str">
        <f ca="1">IF(B190="","",IF(DX190="Parent","",VLOOKUP(B190,step01标题尺码信息!G:P,8,0)))</f>
        <v/>
      </c>
      <c r="BK190" t="str">
        <f t="shared" si="122"/>
        <v/>
      </c>
      <c r="BL190" t="str">
        <f t="shared" si="123"/>
        <v/>
      </c>
      <c r="BO190" t="str">
        <f t="shared" si="124"/>
        <v/>
      </c>
      <c r="BR190" t="str">
        <f ca="1">IF(B190="","",IF(AS190="Parent","",VLOOKUP(B190,step01标题尺码信息!G:P,9,0)))</f>
        <v/>
      </c>
      <c r="CY190" t="str">
        <f t="shared" si="125"/>
        <v/>
      </c>
      <c r="DG190" t="str">
        <f>IF(B190="","",step01标题尺码信息!$T$30)</f>
        <v/>
      </c>
      <c r="DH190" t="str">
        <f t="shared" si="126"/>
        <v/>
      </c>
      <c r="DN190" t="str">
        <f ca="1" t="shared" si="127"/>
        <v/>
      </c>
      <c r="DW190" t="str">
        <f t="shared" si="128"/>
        <v/>
      </c>
      <c r="ER190" t="str">
        <f>IF(B190="","",step01标题尺码信息!$T$37)</f>
        <v/>
      </c>
      <c r="ES190" t="str">
        <f t="shared" si="129"/>
        <v/>
      </c>
      <c r="HF190" t="str">
        <f>IF(B190="","",step01标题尺码信息!$S$2)</f>
        <v/>
      </c>
      <c r="HH190" t="str">
        <f t="shared" si="130"/>
        <v/>
      </c>
      <c r="HI190" t="str">
        <f t="shared" si="131"/>
        <v/>
      </c>
      <c r="HL190" t="str">
        <f t="shared" si="132"/>
        <v/>
      </c>
      <c r="IA190" t="str">
        <f t="shared" si="133"/>
        <v/>
      </c>
    </row>
    <row r="191" spans="1:235">
      <c r="A191" t="str">
        <f>IF(B191="","",step01标题尺码信息!$B$3)</f>
        <v/>
      </c>
      <c r="B191" t="str">
        <f>IF(step01标题尺码信息!G193="","",step01标题尺码信息!G193)</f>
        <v/>
      </c>
      <c r="C191" t="str">
        <f>IF(B191="","",step01标题尺码信息!$E$3)</f>
        <v/>
      </c>
      <c r="D191" t="str">
        <f t="shared" si="115"/>
        <v/>
      </c>
      <c r="E191" t="str">
        <f ca="1">IF(B191="","",VLOOKUP(B191,step01标题尺码信息!G:P,4,0))</f>
        <v/>
      </c>
      <c r="H191" t="str">
        <f>IF(B191="","",step01标题尺码信息!$R$19)</f>
        <v/>
      </c>
      <c r="I191" t="str">
        <f t="shared" si="116"/>
        <v/>
      </c>
      <c r="M191" t="str">
        <f t="shared" si="117"/>
        <v/>
      </c>
      <c r="U191" t="str">
        <f>IF(B191="","",step01标题尺码信息!$S$1)</f>
        <v/>
      </c>
      <c r="V191" t="str">
        <f t="shared" si="118"/>
        <v/>
      </c>
      <c r="W191" t="str">
        <f>IF(B191="","",step01标题尺码信息!$V$1)</f>
        <v/>
      </c>
      <c r="X191" t="str">
        <f>IF(B191="","",step01标题尺码信息!$V$2)</f>
        <v/>
      </c>
      <c r="Y191" t="str">
        <f t="shared" si="119"/>
        <v/>
      </c>
      <c r="Z191" t="str">
        <f t="shared" si="120"/>
        <v/>
      </c>
      <c r="AA191" t="str">
        <f ca="1">IF(B191="","",IF(CB191="Parent","",VLOOKUP(B191,step01标题尺码信息!G:P,9,0)))</f>
        <v/>
      </c>
      <c r="AG191" t="str">
        <f t="shared" si="134"/>
        <v/>
      </c>
      <c r="AH191" t="str">
        <f t="shared" si="135"/>
        <v/>
      </c>
      <c r="AI191" t="str">
        <f ca="1">IF(OR(B191="",VLOOKUP(BH191,step02图片链接!B:E,4,0)=""),"",VLOOKUP(BH191,step02图片链接!B:E,4,0))</f>
        <v/>
      </c>
      <c r="AJ191" t="str">
        <f ca="1">IF(OR(B191="",VLOOKUP(BH191,step02图片链接!B:G,6,0)=""),"",VLOOKUP(BH191,step02图片链接!B:G,6,0))</f>
        <v/>
      </c>
      <c r="AK191" t="str">
        <f ca="1">IF(OR(B191="",VLOOKUP(BH191,step02图片链接!B:H,7,0)=""),"",VLOOKUP(BH191,step02图片链接!B:H,7,0))</f>
        <v/>
      </c>
      <c r="AL191" t="str">
        <f ca="1">IF(OR(B191="",VLOOKUP(BH191,step02图片链接!B:I,8,0)=""),"",VLOOKUP(BH191,step02图片链接!B:I,8,0))</f>
        <v/>
      </c>
      <c r="AM191" t="str">
        <f ca="1">IF(OR(B191="",VLOOKUP(BH191,step02图片链接!B:J,9,0)=""),"",VLOOKUP(BH191,step02图片链接!B:J,9,0))</f>
        <v/>
      </c>
      <c r="AN191" t="str">
        <f ca="1">IF(OR(B191="",VLOOKUP(BH191,step02图片链接!B:K,10,0)=""),"",VLOOKUP(BH191,step02图片链接!B:K,10,0))</f>
        <v/>
      </c>
      <c r="AO191" t="str">
        <f ca="1">IF(OR(B191="",VLOOKUP(BH191,step02图片链接!B:L,11,0)=""),"",VLOOKUP(BH191,step02图片链接!B:L,11,0))</f>
        <v/>
      </c>
      <c r="AP191" t="str">
        <f ca="1">IF(OR(B191="",VLOOKUP(BH191,step02图片链接!B:M,12,0)=""),"",VLOOKUP(BH191,step02图片链接!B:M,12,0))</f>
        <v/>
      </c>
      <c r="AQ191" t="str">
        <f ca="1">IF(OR(B191="",VLOOKUP(BH191,step02图片链接!B:N,13,0)=""),"",VLOOKUP(BH191,step02图片链接!B:N,13,0))</f>
        <v/>
      </c>
      <c r="AS191" t="str">
        <f t="shared" si="136"/>
        <v/>
      </c>
      <c r="AT191" t="str">
        <f t="shared" si="137"/>
        <v/>
      </c>
      <c r="AU191" t="str">
        <f t="shared" si="121"/>
        <v/>
      </c>
      <c r="AV191" t="str">
        <f>IF(B191="","",step01标题尺码信息!$T$36)</f>
        <v/>
      </c>
      <c r="AZ191" t="str">
        <f>IF(B191="","",step01标题尺码信息!$S$41)</f>
        <v/>
      </c>
      <c r="BA191" t="str">
        <f>IF(B191="","",step01标题尺码信息!$S$43)</f>
        <v/>
      </c>
      <c r="BB191" t="str">
        <f>IF(B191="","",step01标题尺码信息!$S$45)</f>
        <v/>
      </c>
      <c r="BC191" t="str">
        <f>IF(B191="","",step01标题尺码信息!$S$47)</f>
        <v/>
      </c>
      <c r="BD191" t="str">
        <f>IF(B191="","",step01标题尺码信息!$S$49)</f>
        <v/>
      </c>
      <c r="BE191" t="str">
        <f>IF(B191="","",step01标题尺码信息!$S$53)</f>
        <v/>
      </c>
      <c r="BH191" t="str">
        <f ca="1">IF(B191="","",IF(DX191="Parent","",VLOOKUP(B191,step01标题尺码信息!G:P,7,0)))</f>
        <v/>
      </c>
      <c r="BI191" t="str">
        <f ca="1">IF(B191="","",IF(DX191="Parent","",VLOOKUP(B191,step01标题尺码信息!G:P,8,0)))</f>
        <v/>
      </c>
      <c r="BK191" t="str">
        <f t="shared" si="122"/>
        <v/>
      </c>
      <c r="BL191" t="str">
        <f t="shared" si="123"/>
        <v/>
      </c>
      <c r="BO191" t="str">
        <f t="shared" si="124"/>
        <v/>
      </c>
      <c r="BR191" t="str">
        <f ca="1">IF(B191="","",IF(AS191="Parent","",VLOOKUP(B191,step01标题尺码信息!G:P,9,0)))</f>
        <v/>
      </c>
      <c r="CY191" t="str">
        <f t="shared" si="125"/>
        <v/>
      </c>
      <c r="DG191" t="str">
        <f>IF(B191="","",step01标题尺码信息!$T$30)</f>
        <v/>
      </c>
      <c r="DH191" t="str">
        <f t="shared" si="126"/>
        <v/>
      </c>
      <c r="DN191" t="str">
        <f ca="1" t="shared" si="127"/>
        <v/>
      </c>
      <c r="DW191" t="str">
        <f t="shared" si="128"/>
        <v/>
      </c>
      <c r="ER191" t="str">
        <f>IF(B191="","",step01标题尺码信息!$T$37)</f>
        <v/>
      </c>
      <c r="ES191" t="str">
        <f t="shared" si="129"/>
        <v/>
      </c>
      <c r="HF191" t="str">
        <f>IF(B191="","",step01标题尺码信息!$S$2)</f>
        <v/>
      </c>
      <c r="HH191" t="str">
        <f t="shared" si="130"/>
        <v/>
      </c>
      <c r="HI191" t="str">
        <f t="shared" si="131"/>
        <v/>
      </c>
      <c r="HL191" t="str">
        <f t="shared" si="132"/>
        <v/>
      </c>
      <c r="IA191" t="str">
        <f t="shared" si="133"/>
        <v/>
      </c>
    </row>
    <row r="192" spans="1:235">
      <c r="A192" t="str">
        <f>IF(B192="","",step01标题尺码信息!$B$3)</f>
        <v/>
      </c>
      <c r="B192" t="str">
        <f>IF(step01标题尺码信息!G194="","",step01标题尺码信息!G194)</f>
        <v/>
      </c>
      <c r="C192" t="str">
        <f>IF(B192="","",step01标题尺码信息!$E$3)</f>
        <v/>
      </c>
      <c r="D192" t="str">
        <f t="shared" si="115"/>
        <v/>
      </c>
      <c r="E192" t="str">
        <f ca="1">IF(B192="","",VLOOKUP(B192,step01标题尺码信息!G:P,4,0))</f>
        <v/>
      </c>
      <c r="H192" t="str">
        <f>IF(B192="","",step01标题尺码信息!$R$19)</f>
        <v/>
      </c>
      <c r="I192" t="str">
        <f t="shared" si="116"/>
        <v/>
      </c>
      <c r="M192" t="str">
        <f t="shared" si="117"/>
        <v/>
      </c>
      <c r="U192" t="str">
        <f>IF(B192="","",step01标题尺码信息!$S$1)</f>
        <v/>
      </c>
      <c r="V192" t="str">
        <f t="shared" si="118"/>
        <v/>
      </c>
      <c r="W192" t="str">
        <f>IF(B192="","",step01标题尺码信息!$V$1)</f>
        <v/>
      </c>
      <c r="X192" t="str">
        <f>IF(B192="","",step01标题尺码信息!$V$2)</f>
        <v/>
      </c>
      <c r="Y192" t="str">
        <f t="shared" si="119"/>
        <v/>
      </c>
      <c r="Z192" t="str">
        <f t="shared" si="120"/>
        <v/>
      </c>
      <c r="AA192" t="str">
        <f ca="1">IF(B192="","",IF(CB192="Parent","",VLOOKUP(B192,step01标题尺码信息!G:P,9,0)))</f>
        <v/>
      </c>
      <c r="AG192" t="str">
        <f t="shared" si="134"/>
        <v/>
      </c>
      <c r="AH192" t="str">
        <f t="shared" si="135"/>
        <v/>
      </c>
      <c r="AI192" t="str">
        <f ca="1">IF(OR(B192="",VLOOKUP(BH192,step02图片链接!B:E,4,0)=""),"",VLOOKUP(BH192,step02图片链接!B:E,4,0))</f>
        <v/>
      </c>
      <c r="AJ192" t="str">
        <f ca="1">IF(OR(B192="",VLOOKUP(BH192,step02图片链接!B:G,6,0)=""),"",VLOOKUP(BH192,step02图片链接!B:G,6,0))</f>
        <v/>
      </c>
      <c r="AK192" t="str">
        <f ca="1">IF(OR(B192="",VLOOKUP(BH192,step02图片链接!B:H,7,0)=""),"",VLOOKUP(BH192,step02图片链接!B:H,7,0))</f>
        <v/>
      </c>
      <c r="AL192" t="str">
        <f ca="1">IF(OR(B192="",VLOOKUP(BH192,step02图片链接!B:I,8,0)=""),"",VLOOKUP(BH192,step02图片链接!B:I,8,0))</f>
        <v/>
      </c>
      <c r="AM192" t="str">
        <f ca="1">IF(OR(B192="",VLOOKUP(BH192,step02图片链接!B:J,9,0)=""),"",VLOOKUP(BH192,step02图片链接!B:J,9,0))</f>
        <v/>
      </c>
      <c r="AN192" t="str">
        <f ca="1">IF(OR(B192="",VLOOKUP(BH192,step02图片链接!B:K,10,0)=""),"",VLOOKUP(BH192,step02图片链接!B:K,10,0))</f>
        <v/>
      </c>
      <c r="AO192" t="str">
        <f ca="1">IF(OR(B192="",VLOOKUP(BH192,step02图片链接!B:L,11,0)=""),"",VLOOKUP(BH192,step02图片链接!B:L,11,0))</f>
        <v/>
      </c>
      <c r="AP192" t="str">
        <f ca="1">IF(OR(B192="",VLOOKUP(BH192,step02图片链接!B:M,12,0)=""),"",VLOOKUP(BH192,step02图片链接!B:M,12,0))</f>
        <v/>
      </c>
      <c r="AQ192" t="str">
        <f ca="1">IF(OR(B192="",VLOOKUP(BH192,step02图片链接!B:N,13,0)=""),"",VLOOKUP(BH192,step02图片链接!B:N,13,0))</f>
        <v/>
      </c>
      <c r="AS192" t="str">
        <f t="shared" si="136"/>
        <v/>
      </c>
      <c r="AT192" t="str">
        <f t="shared" si="137"/>
        <v/>
      </c>
      <c r="AU192" t="str">
        <f t="shared" si="121"/>
        <v/>
      </c>
      <c r="AV192" t="str">
        <f>IF(B192="","",step01标题尺码信息!$T$36)</f>
        <v/>
      </c>
      <c r="AZ192" t="str">
        <f>IF(B192="","",step01标题尺码信息!$S$41)</f>
        <v/>
      </c>
      <c r="BA192" t="str">
        <f>IF(B192="","",step01标题尺码信息!$S$43)</f>
        <v/>
      </c>
      <c r="BB192" t="str">
        <f>IF(B192="","",step01标题尺码信息!$S$45)</f>
        <v/>
      </c>
      <c r="BC192" t="str">
        <f>IF(B192="","",step01标题尺码信息!$S$47)</f>
        <v/>
      </c>
      <c r="BD192" t="str">
        <f>IF(B192="","",step01标题尺码信息!$S$49)</f>
        <v/>
      </c>
      <c r="BE192" t="str">
        <f>IF(B192="","",step01标题尺码信息!$S$53)</f>
        <v/>
      </c>
      <c r="BH192" t="str">
        <f ca="1">IF(B192="","",IF(DX192="Parent","",VLOOKUP(B192,step01标题尺码信息!G:P,7,0)))</f>
        <v/>
      </c>
      <c r="BI192" t="str">
        <f ca="1">IF(B192="","",IF(DX192="Parent","",VLOOKUP(B192,step01标题尺码信息!G:P,8,0)))</f>
        <v/>
      </c>
      <c r="BK192" t="str">
        <f t="shared" si="122"/>
        <v/>
      </c>
      <c r="BL192" t="str">
        <f t="shared" si="123"/>
        <v/>
      </c>
      <c r="BO192" t="str">
        <f t="shared" si="124"/>
        <v/>
      </c>
      <c r="BR192" t="str">
        <f ca="1">IF(B192="","",IF(AS192="Parent","",VLOOKUP(B192,step01标题尺码信息!G:P,9,0)))</f>
        <v/>
      </c>
      <c r="CY192" t="str">
        <f t="shared" si="125"/>
        <v/>
      </c>
      <c r="DG192" t="str">
        <f>IF(B192="","",step01标题尺码信息!$T$30)</f>
        <v/>
      </c>
      <c r="DH192" t="str">
        <f t="shared" si="126"/>
        <v/>
      </c>
      <c r="DN192" t="str">
        <f ca="1" t="shared" si="127"/>
        <v/>
      </c>
      <c r="DW192" t="str">
        <f t="shared" si="128"/>
        <v/>
      </c>
      <c r="ER192" t="str">
        <f>IF(B192="","",step01标题尺码信息!$T$37)</f>
        <v/>
      </c>
      <c r="ES192" t="str">
        <f t="shared" si="129"/>
        <v/>
      </c>
      <c r="HF192" t="str">
        <f>IF(B192="","",step01标题尺码信息!$S$2)</f>
        <v/>
      </c>
      <c r="HH192" t="str">
        <f t="shared" si="130"/>
        <v/>
      </c>
      <c r="HI192" t="str">
        <f t="shared" si="131"/>
        <v/>
      </c>
      <c r="HL192" t="str">
        <f t="shared" si="132"/>
        <v/>
      </c>
      <c r="IA192" t="str">
        <f t="shared" si="133"/>
        <v/>
      </c>
    </row>
    <row r="193" spans="1:235">
      <c r="A193" t="str">
        <f>IF(B193="","",step01标题尺码信息!$B$3)</f>
        <v/>
      </c>
      <c r="B193" t="str">
        <f>IF(step01标题尺码信息!G195="","",step01标题尺码信息!G195)</f>
        <v/>
      </c>
      <c r="C193" t="str">
        <f>IF(B193="","",step01标题尺码信息!$E$3)</f>
        <v/>
      </c>
      <c r="D193" t="str">
        <f t="shared" si="115"/>
        <v/>
      </c>
      <c r="E193" t="str">
        <f ca="1">IF(B193="","",VLOOKUP(B193,step01标题尺码信息!G:P,4,0))</f>
        <v/>
      </c>
      <c r="H193" t="str">
        <f>IF(B193="","",step01标题尺码信息!$R$19)</f>
        <v/>
      </c>
      <c r="I193" t="str">
        <f t="shared" si="116"/>
        <v/>
      </c>
      <c r="M193" t="str">
        <f t="shared" si="117"/>
        <v/>
      </c>
      <c r="U193" t="str">
        <f>IF(B193="","",step01标题尺码信息!$S$1)</f>
        <v/>
      </c>
      <c r="V193" t="str">
        <f t="shared" si="118"/>
        <v/>
      </c>
      <c r="W193" t="str">
        <f>IF(B193="","",step01标题尺码信息!$V$1)</f>
        <v/>
      </c>
      <c r="X193" t="str">
        <f>IF(B193="","",step01标题尺码信息!$V$2)</f>
        <v/>
      </c>
      <c r="Y193" t="str">
        <f t="shared" si="119"/>
        <v/>
      </c>
      <c r="Z193" t="str">
        <f t="shared" si="120"/>
        <v/>
      </c>
      <c r="AA193" t="str">
        <f ca="1">IF(B193="","",IF(CB193="Parent","",VLOOKUP(B193,step01标题尺码信息!G:P,9,0)))</f>
        <v/>
      </c>
      <c r="AG193" t="str">
        <f t="shared" si="134"/>
        <v/>
      </c>
      <c r="AH193" t="str">
        <f t="shared" si="135"/>
        <v/>
      </c>
      <c r="AI193" t="str">
        <f ca="1">IF(OR(B193="",VLOOKUP(BH193,step02图片链接!B:E,4,0)=""),"",VLOOKUP(BH193,step02图片链接!B:E,4,0))</f>
        <v/>
      </c>
      <c r="AJ193" t="str">
        <f ca="1">IF(OR(B193="",VLOOKUP(BH193,step02图片链接!B:G,6,0)=""),"",VLOOKUP(BH193,step02图片链接!B:G,6,0))</f>
        <v/>
      </c>
      <c r="AK193" t="str">
        <f ca="1">IF(OR(B193="",VLOOKUP(BH193,step02图片链接!B:H,7,0)=""),"",VLOOKUP(BH193,step02图片链接!B:H,7,0))</f>
        <v/>
      </c>
      <c r="AL193" t="str">
        <f ca="1">IF(OR(B193="",VLOOKUP(BH193,step02图片链接!B:I,8,0)=""),"",VLOOKUP(BH193,step02图片链接!B:I,8,0))</f>
        <v/>
      </c>
      <c r="AM193" t="str">
        <f ca="1">IF(OR(B193="",VLOOKUP(BH193,step02图片链接!B:J,9,0)=""),"",VLOOKUP(BH193,step02图片链接!B:J,9,0))</f>
        <v/>
      </c>
      <c r="AN193" t="str">
        <f ca="1">IF(OR(B193="",VLOOKUP(BH193,step02图片链接!B:K,10,0)=""),"",VLOOKUP(BH193,step02图片链接!B:K,10,0))</f>
        <v/>
      </c>
      <c r="AO193" t="str">
        <f ca="1">IF(OR(B193="",VLOOKUP(BH193,step02图片链接!B:L,11,0)=""),"",VLOOKUP(BH193,step02图片链接!B:L,11,0))</f>
        <v/>
      </c>
      <c r="AP193" t="str">
        <f ca="1">IF(OR(B193="",VLOOKUP(BH193,step02图片链接!B:M,12,0)=""),"",VLOOKUP(BH193,step02图片链接!B:M,12,0))</f>
        <v/>
      </c>
      <c r="AQ193" t="str">
        <f ca="1">IF(OR(B193="",VLOOKUP(BH193,step02图片链接!B:N,13,0)=""),"",VLOOKUP(BH193,step02图片链接!B:N,13,0))</f>
        <v/>
      </c>
      <c r="AS193" t="str">
        <f t="shared" si="136"/>
        <v/>
      </c>
      <c r="AT193" t="str">
        <f t="shared" si="137"/>
        <v/>
      </c>
      <c r="AU193" t="str">
        <f t="shared" si="121"/>
        <v/>
      </c>
      <c r="AV193" t="str">
        <f>IF(B193="","",step01标题尺码信息!$T$36)</f>
        <v/>
      </c>
      <c r="AZ193" t="str">
        <f>IF(B193="","",step01标题尺码信息!$S$41)</f>
        <v/>
      </c>
      <c r="BA193" t="str">
        <f>IF(B193="","",step01标题尺码信息!$S$43)</f>
        <v/>
      </c>
      <c r="BB193" t="str">
        <f>IF(B193="","",step01标题尺码信息!$S$45)</f>
        <v/>
      </c>
      <c r="BC193" t="str">
        <f>IF(B193="","",step01标题尺码信息!$S$47)</f>
        <v/>
      </c>
      <c r="BD193" t="str">
        <f>IF(B193="","",step01标题尺码信息!$S$49)</f>
        <v/>
      </c>
      <c r="BE193" t="str">
        <f>IF(B193="","",step01标题尺码信息!$S$53)</f>
        <v/>
      </c>
      <c r="BH193" t="str">
        <f ca="1">IF(B193="","",IF(DX193="Parent","",VLOOKUP(B193,step01标题尺码信息!G:P,7,0)))</f>
        <v/>
      </c>
      <c r="BI193" t="str">
        <f ca="1">IF(B193="","",IF(DX193="Parent","",VLOOKUP(B193,step01标题尺码信息!G:P,8,0)))</f>
        <v/>
      </c>
      <c r="BK193" t="str">
        <f t="shared" si="122"/>
        <v/>
      </c>
      <c r="BL193" t="str">
        <f t="shared" si="123"/>
        <v/>
      </c>
      <c r="BO193" t="str">
        <f t="shared" si="124"/>
        <v/>
      </c>
      <c r="BR193" t="str">
        <f ca="1">IF(B193="","",IF(AS193="Parent","",VLOOKUP(B193,step01标题尺码信息!G:P,9,0)))</f>
        <v/>
      </c>
      <c r="CY193" t="str">
        <f t="shared" si="125"/>
        <v/>
      </c>
      <c r="DG193" t="str">
        <f>IF(B193="","",step01标题尺码信息!$T$30)</f>
        <v/>
      </c>
      <c r="DH193" t="str">
        <f t="shared" si="126"/>
        <v/>
      </c>
      <c r="DN193" t="str">
        <f ca="1" t="shared" si="127"/>
        <v/>
      </c>
      <c r="DW193" t="str">
        <f t="shared" si="128"/>
        <v/>
      </c>
      <c r="ER193" t="str">
        <f>IF(B193="","",step01标题尺码信息!$T$37)</f>
        <v/>
      </c>
      <c r="ES193" t="str">
        <f t="shared" si="129"/>
        <v/>
      </c>
      <c r="HF193" t="str">
        <f>IF(B193="","",step01标题尺码信息!$S$2)</f>
        <v/>
      </c>
      <c r="HH193" t="str">
        <f t="shared" si="130"/>
        <v/>
      </c>
      <c r="HI193" t="str">
        <f t="shared" si="131"/>
        <v/>
      </c>
      <c r="HL193" t="str">
        <f t="shared" si="132"/>
        <v/>
      </c>
      <c r="IA193" t="str">
        <f t="shared" si="133"/>
        <v/>
      </c>
    </row>
    <row r="194" spans="1:235">
      <c r="A194" t="str">
        <f>IF(B194="","",step01标题尺码信息!$B$3)</f>
        <v/>
      </c>
      <c r="B194" t="str">
        <f>IF(step01标题尺码信息!G196="","",step01标题尺码信息!G196)</f>
        <v/>
      </c>
      <c r="C194" t="str">
        <f>IF(B194="","",step01标题尺码信息!$E$3)</f>
        <v/>
      </c>
      <c r="D194" t="str">
        <f t="shared" si="115"/>
        <v/>
      </c>
      <c r="E194" t="str">
        <f ca="1">IF(B194="","",VLOOKUP(B194,step01标题尺码信息!G:P,4,0))</f>
        <v/>
      </c>
      <c r="H194" t="str">
        <f>IF(B194="","",step01标题尺码信息!$R$19)</f>
        <v/>
      </c>
      <c r="I194" t="str">
        <f t="shared" si="116"/>
        <v/>
      </c>
      <c r="M194" t="str">
        <f t="shared" si="117"/>
        <v/>
      </c>
      <c r="U194" t="str">
        <f>IF(B194="","",step01标题尺码信息!$S$1)</f>
        <v/>
      </c>
      <c r="V194" t="str">
        <f t="shared" si="118"/>
        <v/>
      </c>
      <c r="W194" t="str">
        <f>IF(B194="","",step01标题尺码信息!$V$1)</f>
        <v/>
      </c>
      <c r="X194" t="str">
        <f>IF(B194="","",step01标题尺码信息!$V$2)</f>
        <v/>
      </c>
      <c r="Y194" t="str">
        <f t="shared" si="119"/>
        <v/>
      </c>
      <c r="Z194" t="str">
        <f t="shared" si="120"/>
        <v/>
      </c>
      <c r="AA194" t="str">
        <f ca="1">IF(B194="","",IF(CB194="Parent","",VLOOKUP(B194,step01标题尺码信息!G:P,9,0)))</f>
        <v/>
      </c>
      <c r="AG194" t="str">
        <f t="shared" si="134"/>
        <v/>
      </c>
      <c r="AH194" t="str">
        <f t="shared" si="135"/>
        <v/>
      </c>
      <c r="AI194" t="str">
        <f ca="1">IF(OR(B194="",VLOOKUP(BH194,step02图片链接!B:E,4,0)=""),"",VLOOKUP(BH194,step02图片链接!B:E,4,0))</f>
        <v/>
      </c>
      <c r="AJ194" t="str">
        <f ca="1">IF(OR(B194="",VLOOKUP(BH194,step02图片链接!B:G,6,0)=""),"",VLOOKUP(BH194,step02图片链接!B:G,6,0))</f>
        <v/>
      </c>
      <c r="AK194" t="str">
        <f ca="1">IF(OR(B194="",VLOOKUP(BH194,step02图片链接!B:H,7,0)=""),"",VLOOKUP(BH194,step02图片链接!B:H,7,0))</f>
        <v/>
      </c>
      <c r="AL194" t="str">
        <f ca="1">IF(OR(B194="",VLOOKUP(BH194,step02图片链接!B:I,8,0)=""),"",VLOOKUP(BH194,step02图片链接!B:I,8,0))</f>
        <v/>
      </c>
      <c r="AM194" t="str">
        <f ca="1">IF(OR(B194="",VLOOKUP(BH194,step02图片链接!B:J,9,0)=""),"",VLOOKUP(BH194,step02图片链接!B:J,9,0))</f>
        <v/>
      </c>
      <c r="AN194" t="str">
        <f ca="1">IF(OR(B194="",VLOOKUP(BH194,step02图片链接!B:K,10,0)=""),"",VLOOKUP(BH194,step02图片链接!B:K,10,0))</f>
        <v/>
      </c>
      <c r="AO194" t="str">
        <f ca="1">IF(OR(B194="",VLOOKUP(BH194,step02图片链接!B:L,11,0)=""),"",VLOOKUP(BH194,step02图片链接!B:L,11,0))</f>
        <v/>
      </c>
      <c r="AP194" t="str">
        <f ca="1">IF(OR(B194="",VLOOKUP(BH194,step02图片链接!B:M,12,0)=""),"",VLOOKUP(BH194,step02图片链接!B:M,12,0))</f>
        <v/>
      </c>
      <c r="AQ194" t="str">
        <f ca="1">IF(OR(B194="",VLOOKUP(BH194,step02图片链接!B:N,13,0)=""),"",VLOOKUP(BH194,step02图片链接!B:N,13,0))</f>
        <v/>
      </c>
      <c r="AS194" t="str">
        <f t="shared" si="136"/>
        <v/>
      </c>
      <c r="AT194" t="str">
        <f t="shared" si="137"/>
        <v/>
      </c>
      <c r="AU194" t="str">
        <f t="shared" si="121"/>
        <v/>
      </c>
      <c r="AV194" t="str">
        <f>IF(B194="","",step01标题尺码信息!$T$36)</f>
        <v/>
      </c>
      <c r="AZ194" t="str">
        <f>IF(B194="","",step01标题尺码信息!$S$41)</f>
        <v/>
      </c>
      <c r="BA194" t="str">
        <f>IF(B194="","",step01标题尺码信息!$S$43)</f>
        <v/>
      </c>
      <c r="BB194" t="str">
        <f>IF(B194="","",step01标题尺码信息!$S$45)</f>
        <v/>
      </c>
      <c r="BC194" t="str">
        <f>IF(B194="","",step01标题尺码信息!$S$47)</f>
        <v/>
      </c>
      <c r="BD194" t="str">
        <f>IF(B194="","",step01标题尺码信息!$S$49)</f>
        <v/>
      </c>
      <c r="BE194" t="str">
        <f>IF(B194="","",step01标题尺码信息!$S$53)</f>
        <v/>
      </c>
      <c r="BH194" t="str">
        <f ca="1">IF(B194="","",IF(DX194="Parent","",VLOOKUP(B194,step01标题尺码信息!G:P,7,0)))</f>
        <v/>
      </c>
      <c r="BI194" t="str">
        <f ca="1">IF(B194="","",IF(DX194="Parent","",VLOOKUP(B194,step01标题尺码信息!G:P,8,0)))</f>
        <v/>
      </c>
      <c r="BK194" t="str">
        <f t="shared" si="122"/>
        <v/>
      </c>
      <c r="BL194" t="str">
        <f t="shared" si="123"/>
        <v/>
      </c>
      <c r="BO194" t="str">
        <f t="shared" si="124"/>
        <v/>
      </c>
      <c r="BR194" t="str">
        <f ca="1">IF(B194="","",IF(AS194="Parent","",VLOOKUP(B194,step01标题尺码信息!G:P,9,0)))</f>
        <v/>
      </c>
      <c r="CY194" t="str">
        <f t="shared" si="125"/>
        <v/>
      </c>
      <c r="DG194" t="str">
        <f>IF(B194="","",step01标题尺码信息!$T$30)</f>
        <v/>
      </c>
      <c r="DH194" t="str">
        <f t="shared" si="126"/>
        <v/>
      </c>
      <c r="DN194" t="str">
        <f ca="1" t="shared" si="127"/>
        <v/>
      </c>
      <c r="DW194" t="str">
        <f t="shared" si="128"/>
        <v/>
      </c>
      <c r="ER194" t="str">
        <f>IF(B194="","",step01标题尺码信息!$T$37)</f>
        <v/>
      </c>
      <c r="ES194" t="str">
        <f t="shared" si="129"/>
        <v/>
      </c>
      <c r="HF194" t="str">
        <f>IF(B194="","",step01标题尺码信息!$S$2)</f>
        <v/>
      </c>
      <c r="HH194" t="str">
        <f t="shared" si="130"/>
        <v/>
      </c>
      <c r="HI194" t="str">
        <f t="shared" si="131"/>
        <v/>
      </c>
      <c r="HL194" t="str">
        <f t="shared" si="132"/>
        <v/>
      </c>
      <c r="IA194" t="str">
        <f t="shared" si="133"/>
        <v/>
      </c>
    </row>
    <row r="195" spans="1:235">
      <c r="A195" t="str">
        <f>IF(B195="","",step01标题尺码信息!$B$3)</f>
        <v/>
      </c>
      <c r="B195" t="str">
        <f>IF(step01标题尺码信息!G197="","",step01标题尺码信息!G197)</f>
        <v/>
      </c>
      <c r="C195" t="str">
        <f>IF(B195="","",step01标题尺码信息!$E$3)</f>
        <v/>
      </c>
      <c r="D195" t="str">
        <f t="shared" si="115"/>
        <v/>
      </c>
      <c r="E195" t="str">
        <f ca="1">IF(B195="","",VLOOKUP(B195,step01标题尺码信息!G:P,4,0))</f>
        <v/>
      </c>
      <c r="H195" t="str">
        <f>IF(B195="","",step01标题尺码信息!$R$19)</f>
        <v/>
      </c>
      <c r="I195" t="str">
        <f t="shared" si="116"/>
        <v/>
      </c>
      <c r="M195" t="str">
        <f t="shared" si="117"/>
        <v/>
      </c>
      <c r="U195" t="str">
        <f>IF(B195="","",step01标题尺码信息!$S$1)</f>
        <v/>
      </c>
      <c r="V195" t="str">
        <f t="shared" si="118"/>
        <v/>
      </c>
      <c r="W195" t="str">
        <f>IF(B195="","",step01标题尺码信息!$V$1)</f>
        <v/>
      </c>
      <c r="X195" t="str">
        <f>IF(B195="","",step01标题尺码信息!$V$2)</f>
        <v/>
      </c>
      <c r="Y195" t="str">
        <f t="shared" si="119"/>
        <v/>
      </c>
      <c r="Z195" t="str">
        <f t="shared" si="120"/>
        <v/>
      </c>
      <c r="AA195" t="str">
        <f ca="1">IF(B195="","",IF(CB195="Parent","",VLOOKUP(B195,step01标题尺码信息!G:P,9,0)))</f>
        <v/>
      </c>
      <c r="AG195" t="str">
        <f t="shared" si="134"/>
        <v/>
      </c>
      <c r="AH195" t="str">
        <f t="shared" si="135"/>
        <v/>
      </c>
      <c r="AI195" t="str">
        <f ca="1">IF(OR(B195="",VLOOKUP(BH195,step02图片链接!B:E,4,0)=""),"",VLOOKUP(BH195,step02图片链接!B:E,4,0))</f>
        <v/>
      </c>
      <c r="AJ195" t="str">
        <f ca="1">IF(OR(B195="",VLOOKUP(BH195,step02图片链接!B:G,6,0)=""),"",VLOOKUP(BH195,step02图片链接!B:G,6,0))</f>
        <v/>
      </c>
      <c r="AK195" t="str">
        <f ca="1">IF(OR(B195="",VLOOKUP(BH195,step02图片链接!B:H,7,0)=""),"",VLOOKUP(BH195,step02图片链接!B:H,7,0))</f>
        <v/>
      </c>
      <c r="AL195" t="str">
        <f ca="1">IF(OR(B195="",VLOOKUP(BH195,step02图片链接!B:I,8,0)=""),"",VLOOKUP(BH195,step02图片链接!B:I,8,0))</f>
        <v/>
      </c>
      <c r="AM195" t="str">
        <f ca="1">IF(OR(B195="",VLOOKUP(BH195,step02图片链接!B:J,9,0)=""),"",VLOOKUP(BH195,step02图片链接!B:J,9,0))</f>
        <v/>
      </c>
      <c r="AN195" t="str">
        <f ca="1">IF(OR(B195="",VLOOKUP(BH195,step02图片链接!B:K,10,0)=""),"",VLOOKUP(BH195,step02图片链接!B:K,10,0))</f>
        <v/>
      </c>
      <c r="AO195" t="str">
        <f ca="1">IF(OR(B195="",VLOOKUP(BH195,step02图片链接!B:L,11,0)=""),"",VLOOKUP(BH195,step02图片链接!B:L,11,0))</f>
        <v/>
      </c>
      <c r="AP195" t="str">
        <f ca="1">IF(OR(B195="",VLOOKUP(BH195,step02图片链接!B:M,12,0)=""),"",VLOOKUP(BH195,step02图片链接!B:M,12,0))</f>
        <v/>
      </c>
      <c r="AQ195" t="str">
        <f ca="1">IF(OR(B195="",VLOOKUP(BH195,step02图片链接!B:N,13,0)=""),"",VLOOKUP(BH195,step02图片链接!B:N,13,0))</f>
        <v/>
      </c>
      <c r="AS195" t="str">
        <f t="shared" si="136"/>
        <v/>
      </c>
      <c r="AT195" t="str">
        <f t="shared" si="137"/>
        <v/>
      </c>
      <c r="AU195" t="str">
        <f t="shared" si="121"/>
        <v/>
      </c>
      <c r="AV195" t="str">
        <f>IF(B195="","",step01标题尺码信息!$T$36)</f>
        <v/>
      </c>
      <c r="AZ195" t="str">
        <f>IF(B195="","",step01标题尺码信息!$S$41)</f>
        <v/>
      </c>
      <c r="BA195" t="str">
        <f>IF(B195="","",step01标题尺码信息!$S$43)</f>
        <v/>
      </c>
      <c r="BB195" t="str">
        <f>IF(B195="","",step01标题尺码信息!$S$45)</f>
        <v/>
      </c>
      <c r="BC195" t="str">
        <f>IF(B195="","",step01标题尺码信息!$S$47)</f>
        <v/>
      </c>
      <c r="BD195" t="str">
        <f>IF(B195="","",step01标题尺码信息!$S$49)</f>
        <v/>
      </c>
      <c r="BE195" t="str">
        <f>IF(B195="","",step01标题尺码信息!$S$53)</f>
        <v/>
      </c>
      <c r="BH195" t="str">
        <f ca="1">IF(B195="","",IF(DX195="Parent","",VLOOKUP(B195,step01标题尺码信息!G:P,7,0)))</f>
        <v/>
      </c>
      <c r="BI195" t="str">
        <f ca="1">IF(B195="","",IF(DX195="Parent","",VLOOKUP(B195,step01标题尺码信息!G:P,8,0)))</f>
        <v/>
      </c>
      <c r="BK195" t="str">
        <f t="shared" si="122"/>
        <v/>
      </c>
      <c r="BL195" t="str">
        <f t="shared" si="123"/>
        <v/>
      </c>
      <c r="BO195" t="str">
        <f t="shared" si="124"/>
        <v/>
      </c>
      <c r="BR195" t="str">
        <f ca="1">IF(B195="","",IF(AS195="Parent","",VLOOKUP(B195,step01标题尺码信息!G:P,9,0)))</f>
        <v/>
      </c>
      <c r="CY195" t="str">
        <f t="shared" si="125"/>
        <v/>
      </c>
      <c r="DG195" t="str">
        <f>IF(B195="","",step01标题尺码信息!$T$30)</f>
        <v/>
      </c>
      <c r="DH195" t="str">
        <f t="shared" si="126"/>
        <v/>
      </c>
      <c r="DN195" t="str">
        <f ca="1" t="shared" si="127"/>
        <v/>
      </c>
      <c r="DW195" t="str">
        <f t="shared" si="128"/>
        <v/>
      </c>
      <c r="ER195" t="str">
        <f>IF(B195="","",step01标题尺码信息!$T$37)</f>
        <v/>
      </c>
      <c r="ES195" t="str">
        <f t="shared" si="129"/>
        <v/>
      </c>
      <c r="HF195" t="str">
        <f>IF(B195="","",step01标题尺码信息!$S$2)</f>
        <v/>
      </c>
      <c r="HH195" t="str">
        <f t="shared" si="130"/>
        <v/>
      </c>
      <c r="HI195" t="str">
        <f t="shared" si="131"/>
        <v/>
      </c>
      <c r="HL195" t="str">
        <f t="shared" si="132"/>
        <v/>
      </c>
      <c r="IA195" t="str">
        <f t="shared" si="133"/>
        <v/>
      </c>
    </row>
    <row r="196" spans="1:235">
      <c r="A196" t="str">
        <f>IF(B196="","",step01标题尺码信息!$B$3)</f>
        <v/>
      </c>
      <c r="B196" t="str">
        <f>IF(step01标题尺码信息!G198="","",step01标题尺码信息!G198)</f>
        <v/>
      </c>
      <c r="C196" t="str">
        <f>IF(B196="","",step01标题尺码信息!$E$3)</f>
        <v/>
      </c>
      <c r="D196" t="str">
        <f t="shared" si="115"/>
        <v/>
      </c>
      <c r="E196" t="str">
        <f ca="1">IF(B196="","",VLOOKUP(B196,step01标题尺码信息!G:P,4,0))</f>
        <v/>
      </c>
      <c r="H196" t="str">
        <f>IF(B196="","",step01标题尺码信息!$R$19)</f>
        <v/>
      </c>
      <c r="I196" t="str">
        <f t="shared" si="116"/>
        <v/>
      </c>
      <c r="M196" t="str">
        <f t="shared" si="117"/>
        <v/>
      </c>
      <c r="U196" t="str">
        <f>IF(B196="","",step01标题尺码信息!$S$1)</f>
        <v/>
      </c>
      <c r="V196" t="str">
        <f t="shared" si="118"/>
        <v/>
      </c>
      <c r="W196" t="str">
        <f>IF(B196="","",step01标题尺码信息!$V$1)</f>
        <v/>
      </c>
      <c r="X196" t="str">
        <f>IF(B196="","",step01标题尺码信息!$V$2)</f>
        <v/>
      </c>
      <c r="Y196" t="str">
        <f t="shared" si="119"/>
        <v/>
      </c>
      <c r="Z196" t="str">
        <f t="shared" si="120"/>
        <v/>
      </c>
      <c r="AA196" t="str">
        <f ca="1">IF(B196="","",IF(CB196="Parent","",VLOOKUP(B196,step01标题尺码信息!G:P,9,0)))</f>
        <v/>
      </c>
      <c r="AG196" t="str">
        <f t="shared" si="134"/>
        <v/>
      </c>
      <c r="AH196" t="str">
        <f t="shared" si="135"/>
        <v/>
      </c>
      <c r="AI196" t="str">
        <f ca="1">IF(OR(B196="",VLOOKUP(BH196,step02图片链接!B:E,4,0)=""),"",VLOOKUP(BH196,step02图片链接!B:E,4,0))</f>
        <v/>
      </c>
      <c r="AJ196" t="str">
        <f ca="1">IF(OR(B196="",VLOOKUP(BH196,step02图片链接!B:G,6,0)=""),"",VLOOKUP(BH196,step02图片链接!B:G,6,0))</f>
        <v/>
      </c>
      <c r="AK196" t="str">
        <f ca="1">IF(OR(B196="",VLOOKUP(BH196,step02图片链接!B:H,7,0)=""),"",VLOOKUP(BH196,step02图片链接!B:H,7,0))</f>
        <v/>
      </c>
      <c r="AL196" t="str">
        <f ca="1">IF(OR(B196="",VLOOKUP(BH196,step02图片链接!B:I,8,0)=""),"",VLOOKUP(BH196,step02图片链接!B:I,8,0))</f>
        <v/>
      </c>
      <c r="AM196" t="str">
        <f ca="1">IF(OR(B196="",VLOOKUP(BH196,step02图片链接!B:J,9,0)=""),"",VLOOKUP(BH196,step02图片链接!B:J,9,0))</f>
        <v/>
      </c>
      <c r="AN196" t="str">
        <f ca="1">IF(OR(B196="",VLOOKUP(BH196,step02图片链接!B:K,10,0)=""),"",VLOOKUP(BH196,step02图片链接!B:K,10,0))</f>
        <v/>
      </c>
      <c r="AO196" t="str">
        <f ca="1">IF(OR(B196="",VLOOKUP(BH196,step02图片链接!B:L,11,0)=""),"",VLOOKUP(BH196,step02图片链接!B:L,11,0))</f>
        <v/>
      </c>
      <c r="AP196" t="str">
        <f ca="1">IF(OR(B196="",VLOOKUP(BH196,step02图片链接!B:M,12,0)=""),"",VLOOKUP(BH196,step02图片链接!B:M,12,0))</f>
        <v/>
      </c>
      <c r="AQ196" t="str">
        <f ca="1">IF(OR(B196="",VLOOKUP(BH196,step02图片链接!B:N,13,0)=""),"",VLOOKUP(BH196,step02图片链接!B:N,13,0))</f>
        <v/>
      </c>
      <c r="AS196" t="str">
        <f t="shared" si="136"/>
        <v/>
      </c>
      <c r="AT196" t="str">
        <f t="shared" si="137"/>
        <v/>
      </c>
      <c r="AU196" t="str">
        <f t="shared" si="121"/>
        <v/>
      </c>
      <c r="AV196" t="str">
        <f>IF(B196="","",step01标题尺码信息!$T$36)</f>
        <v/>
      </c>
      <c r="AZ196" t="str">
        <f>IF(B196="","",step01标题尺码信息!$S$41)</f>
        <v/>
      </c>
      <c r="BA196" t="str">
        <f>IF(B196="","",step01标题尺码信息!$S$43)</f>
        <v/>
      </c>
      <c r="BB196" t="str">
        <f>IF(B196="","",step01标题尺码信息!$S$45)</f>
        <v/>
      </c>
      <c r="BC196" t="str">
        <f>IF(B196="","",step01标题尺码信息!$S$47)</f>
        <v/>
      </c>
      <c r="BD196" t="str">
        <f>IF(B196="","",step01标题尺码信息!$S$49)</f>
        <v/>
      </c>
      <c r="BE196" t="str">
        <f>IF(B196="","",step01标题尺码信息!$S$53)</f>
        <v/>
      </c>
      <c r="BH196" t="str">
        <f ca="1">IF(B196="","",IF(DX196="Parent","",VLOOKUP(B196,step01标题尺码信息!G:P,7,0)))</f>
        <v/>
      </c>
      <c r="BI196" t="str">
        <f ca="1">IF(B196="","",IF(DX196="Parent","",VLOOKUP(B196,step01标题尺码信息!G:P,8,0)))</f>
        <v/>
      </c>
      <c r="BK196" t="str">
        <f t="shared" si="122"/>
        <v/>
      </c>
      <c r="BL196" t="str">
        <f t="shared" si="123"/>
        <v/>
      </c>
      <c r="BO196" t="str">
        <f t="shared" si="124"/>
        <v/>
      </c>
      <c r="BR196" t="str">
        <f ca="1">IF(B196="","",IF(AS196="Parent","",VLOOKUP(B196,step01标题尺码信息!G:P,9,0)))</f>
        <v/>
      </c>
      <c r="CY196" t="str">
        <f t="shared" si="125"/>
        <v/>
      </c>
      <c r="DG196" t="str">
        <f>IF(B196="","",step01标题尺码信息!$T$30)</f>
        <v/>
      </c>
      <c r="DH196" t="str">
        <f t="shared" si="126"/>
        <v/>
      </c>
      <c r="DN196" t="str">
        <f ca="1" t="shared" si="127"/>
        <v/>
      </c>
      <c r="DW196" t="str">
        <f t="shared" si="128"/>
        <v/>
      </c>
      <c r="ER196" t="str">
        <f>IF(B196="","",step01标题尺码信息!$T$37)</f>
        <v/>
      </c>
      <c r="ES196" t="str">
        <f t="shared" si="129"/>
        <v/>
      </c>
      <c r="HF196" t="str">
        <f>IF(B196="","",step01标题尺码信息!$S$2)</f>
        <v/>
      </c>
      <c r="HH196" t="str">
        <f t="shared" si="130"/>
        <v/>
      </c>
      <c r="HI196" t="str">
        <f t="shared" si="131"/>
        <v/>
      </c>
      <c r="HL196" t="str">
        <f t="shared" si="132"/>
        <v/>
      </c>
      <c r="IA196" t="str">
        <f t="shared" si="133"/>
        <v/>
      </c>
    </row>
    <row r="197" spans="1:235">
      <c r="A197" t="str">
        <f>IF(B197="","",step01标题尺码信息!$B$3)</f>
        <v/>
      </c>
      <c r="B197" t="str">
        <f>IF(step01标题尺码信息!G199="","",step01标题尺码信息!G199)</f>
        <v/>
      </c>
      <c r="C197" t="str">
        <f>IF(B197="","",step01标题尺码信息!$E$3)</f>
        <v/>
      </c>
      <c r="D197" t="str">
        <f t="shared" si="115"/>
        <v/>
      </c>
      <c r="E197" t="str">
        <f ca="1">IF(B197="","",VLOOKUP(B197,step01标题尺码信息!G:P,4,0))</f>
        <v/>
      </c>
      <c r="H197" t="str">
        <f>IF(B197="","",step01标题尺码信息!$R$19)</f>
        <v/>
      </c>
      <c r="I197" t="str">
        <f t="shared" si="116"/>
        <v/>
      </c>
      <c r="M197" t="str">
        <f t="shared" si="117"/>
        <v/>
      </c>
      <c r="U197" t="str">
        <f>IF(B197="","",step01标题尺码信息!$S$1)</f>
        <v/>
      </c>
      <c r="V197" t="str">
        <f t="shared" si="118"/>
        <v/>
      </c>
      <c r="W197" t="str">
        <f>IF(B197="","",step01标题尺码信息!$V$1)</f>
        <v/>
      </c>
      <c r="X197" t="str">
        <f>IF(B197="","",step01标题尺码信息!$V$2)</f>
        <v/>
      </c>
      <c r="Y197" t="str">
        <f t="shared" si="119"/>
        <v/>
      </c>
      <c r="Z197" t="str">
        <f t="shared" si="120"/>
        <v/>
      </c>
      <c r="AA197" t="str">
        <f ca="1">IF(B197="","",IF(CB197="Parent","",VLOOKUP(B197,step01标题尺码信息!G:P,9,0)))</f>
        <v/>
      </c>
      <c r="AG197" t="str">
        <f t="shared" si="134"/>
        <v/>
      </c>
      <c r="AH197" t="str">
        <f t="shared" si="135"/>
        <v/>
      </c>
      <c r="AI197" t="str">
        <f ca="1">IF(OR(B197="",VLOOKUP(BH197,step02图片链接!B:E,4,0)=""),"",VLOOKUP(BH197,step02图片链接!B:E,4,0))</f>
        <v/>
      </c>
      <c r="AJ197" t="str">
        <f ca="1">IF(OR(B197="",VLOOKUP(BH197,step02图片链接!B:G,6,0)=""),"",VLOOKUP(BH197,step02图片链接!B:G,6,0))</f>
        <v/>
      </c>
      <c r="AK197" t="str">
        <f ca="1">IF(OR(B197="",VLOOKUP(BH197,step02图片链接!B:H,7,0)=""),"",VLOOKUP(BH197,step02图片链接!B:H,7,0))</f>
        <v/>
      </c>
      <c r="AL197" t="str">
        <f ca="1">IF(OR(B197="",VLOOKUP(BH197,step02图片链接!B:I,8,0)=""),"",VLOOKUP(BH197,step02图片链接!B:I,8,0))</f>
        <v/>
      </c>
      <c r="AM197" t="str">
        <f ca="1">IF(OR(B197="",VLOOKUP(BH197,step02图片链接!B:J,9,0)=""),"",VLOOKUP(BH197,step02图片链接!B:J,9,0))</f>
        <v/>
      </c>
      <c r="AN197" t="str">
        <f ca="1">IF(OR(B197="",VLOOKUP(BH197,step02图片链接!B:K,10,0)=""),"",VLOOKUP(BH197,step02图片链接!B:K,10,0))</f>
        <v/>
      </c>
      <c r="AO197" t="str">
        <f ca="1">IF(OR(B197="",VLOOKUP(BH197,step02图片链接!B:L,11,0)=""),"",VLOOKUP(BH197,step02图片链接!B:L,11,0))</f>
        <v/>
      </c>
      <c r="AP197" t="str">
        <f ca="1">IF(OR(B197="",VLOOKUP(BH197,step02图片链接!B:M,12,0)=""),"",VLOOKUP(BH197,step02图片链接!B:M,12,0))</f>
        <v/>
      </c>
      <c r="AQ197" t="str">
        <f ca="1">IF(OR(B197="",VLOOKUP(BH197,step02图片链接!B:N,13,0)=""),"",VLOOKUP(BH197,step02图片链接!B:N,13,0))</f>
        <v/>
      </c>
      <c r="AS197" t="str">
        <f t="shared" si="136"/>
        <v/>
      </c>
      <c r="AT197" t="str">
        <f t="shared" si="137"/>
        <v/>
      </c>
      <c r="AU197" t="str">
        <f t="shared" si="121"/>
        <v/>
      </c>
      <c r="AV197" t="str">
        <f>IF(B197="","",step01标题尺码信息!$T$36)</f>
        <v/>
      </c>
      <c r="AZ197" t="str">
        <f>IF(B197="","",step01标题尺码信息!$S$41)</f>
        <v/>
      </c>
      <c r="BA197" t="str">
        <f>IF(B197="","",step01标题尺码信息!$S$43)</f>
        <v/>
      </c>
      <c r="BB197" t="str">
        <f>IF(B197="","",step01标题尺码信息!$S$45)</f>
        <v/>
      </c>
      <c r="BC197" t="str">
        <f>IF(B197="","",step01标题尺码信息!$S$47)</f>
        <v/>
      </c>
      <c r="BD197" t="str">
        <f>IF(B197="","",step01标题尺码信息!$S$49)</f>
        <v/>
      </c>
      <c r="BE197" t="str">
        <f>IF(B197="","",step01标题尺码信息!$S$53)</f>
        <v/>
      </c>
      <c r="BH197" t="str">
        <f ca="1">IF(B197="","",IF(DX197="Parent","",VLOOKUP(B197,step01标题尺码信息!G:P,7,0)))</f>
        <v/>
      </c>
      <c r="BI197" t="str">
        <f ca="1">IF(B197="","",IF(DX197="Parent","",VLOOKUP(B197,step01标题尺码信息!G:P,8,0)))</f>
        <v/>
      </c>
      <c r="BK197" t="str">
        <f t="shared" si="122"/>
        <v/>
      </c>
      <c r="BL197" t="str">
        <f t="shared" si="123"/>
        <v/>
      </c>
      <c r="BO197" t="str">
        <f t="shared" si="124"/>
        <v/>
      </c>
      <c r="BR197" t="str">
        <f ca="1">IF(B197="","",IF(AS197="Parent","",VLOOKUP(B197,step01标题尺码信息!G:P,9,0)))</f>
        <v/>
      </c>
      <c r="CY197" t="str">
        <f t="shared" si="125"/>
        <v/>
      </c>
      <c r="DG197" t="str">
        <f>IF(B197="","",step01标题尺码信息!$T$30)</f>
        <v/>
      </c>
      <c r="DH197" t="str">
        <f t="shared" si="126"/>
        <v/>
      </c>
      <c r="DN197" t="str">
        <f ca="1" t="shared" si="127"/>
        <v/>
      </c>
      <c r="DW197" t="str">
        <f t="shared" si="128"/>
        <v/>
      </c>
      <c r="ER197" t="str">
        <f>IF(B197="","",step01标题尺码信息!$T$37)</f>
        <v/>
      </c>
      <c r="ES197" t="str">
        <f t="shared" si="129"/>
        <v/>
      </c>
      <c r="HF197" t="str">
        <f>IF(B197="","",step01标题尺码信息!$S$2)</f>
        <v/>
      </c>
      <c r="HH197" t="str">
        <f t="shared" si="130"/>
        <v/>
      </c>
      <c r="HI197" t="str">
        <f t="shared" si="131"/>
        <v/>
      </c>
      <c r="HL197" t="str">
        <f t="shared" si="132"/>
        <v/>
      </c>
      <c r="IA197" t="str">
        <f t="shared" si="133"/>
        <v/>
      </c>
    </row>
    <row r="198" spans="1:235">
      <c r="A198" t="str">
        <f>IF(B198="","",step01标题尺码信息!$B$3)</f>
        <v/>
      </c>
      <c r="B198" t="str">
        <f>IF(step01标题尺码信息!G200="","",step01标题尺码信息!G200)</f>
        <v/>
      </c>
      <c r="C198" t="str">
        <f>IF(B198="","",step01标题尺码信息!$E$3)</f>
        <v/>
      </c>
      <c r="D198" t="str">
        <f t="shared" si="115"/>
        <v/>
      </c>
      <c r="E198" t="str">
        <f ca="1">IF(B198="","",VLOOKUP(B198,step01标题尺码信息!G:P,4,0))</f>
        <v/>
      </c>
      <c r="H198" t="str">
        <f>IF(B198="","",step01标题尺码信息!$R$19)</f>
        <v/>
      </c>
      <c r="I198" t="str">
        <f t="shared" si="116"/>
        <v/>
      </c>
      <c r="M198" t="str">
        <f t="shared" si="117"/>
        <v/>
      </c>
      <c r="U198" t="str">
        <f>IF(B198="","",step01标题尺码信息!$S$1)</f>
        <v/>
      </c>
      <c r="V198" t="str">
        <f t="shared" si="118"/>
        <v/>
      </c>
      <c r="W198" t="str">
        <f>IF(B198="","",step01标题尺码信息!$V$1)</f>
        <v/>
      </c>
      <c r="X198" t="str">
        <f>IF(B198="","",step01标题尺码信息!$V$2)</f>
        <v/>
      </c>
      <c r="Y198" t="str">
        <f t="shared" si="119"/>
        <v/>
      </c>
      <c r="Z198" t="str">
        <f t="shared" si="120"/>
        <v/>
      </c>
      <c r="AA198" t="str">
        <f ca="1">IF(B198="","",IF(CB198="Parent","",VLOOKUP(B198,step01标题尺码信息!G:P,9,0)))</f>
        <v/>
      </c>
      <c r="AG198" t="str">
        <f t="shared" si="134"/>
        <v/>
      </c>
      <c r="AH198" t="str">
        <f t="shared" si="135"/>
        <v/>
      </c>
      <c r="AI198" t="str">
        <f ca="1">IF(OR(B198="",VLOOKUP(BH198,step02图片链接!B:E,4,0)=""),"",VLOOKUP(BH198,step02图片链接!B:E,4,0))</f>
        <v/>
      </c>
      <c r="AJ198" t="str">
        <f ca="1">IF(OR(B198="",VLOOKUP(BH198,step02图片链接!B:G,6,0)=""),"",VLOOKUP(BH198,step02图片链接!B:G,6,0))</f>
        <v/>
      </c>
      <c r="AK198" t="str">
        <f ca="1">IF(OR(B198="",VLOOKUP(BH198,step02图片链接!B:H,7,0)=""),"",VLOOKUP(BH198,step02图片链接!B:H,7,0))</f>
        <v/>
      </c>
      <c r="AL198" t="str">
        <f ca="1">IF(OR(B198="",VLOOKUP(BH198,step02图片链接!B:I,8,0)=""),"",VLOOKUP(BH198,step02图片链接!B:I,8,0))</f>
        <v/>
      </c>
      <c r="AM198" t="str">
        <f ca="1">IF(OR(B198="",VLOOKUP(BH198,step02图片链接!B:J,9,0)=""),"",VLOOKUP(BH198,step02图片链接!B:J,9,0))</f>
        <v/>
      </c>
      <c r="AN198" t="str">
        <f ca="1">IF(OR(B198="",VLOOKUP(BH198,step02图片链接!B:K,10,0)=""),"",VLOOKUP(BH198,step02图片链接!B:K,10,0))</f>
        <v/>
      </c>
      <c r="AO198" t="str">
        <f ca="1">IF(OR(B198="",VLOOKUP(BH198,step02图片链接!B:L,11,0)=""),"",VLOOKUP(BH198,step02图片链接!B:L,11,0))</f>
        <v/>
      </c>
      <c r="AP198" t="str">
        <f ca="1">IF(OR(B198="",VLOOKUP(BH198,step02图片链接!B:M,12,0)=""),"",VLOOKUP(BH198,step02图片链接!B:M,12,0))</f>
        <v/>
      </c>
      <c r="AQ198" t="str">
        <f ca="1">IF(OR(B198="",VLOOKUP(BH198,step02图片链接!B:N,13,0)=""),"",VLOOKUP(BH198,step02图片链接!B:N,13,0))</f>
        <v/>
      </c>
      <c r="AS198" t="str">
        <f t="shared" si="136"/>
        <v/>
      </c>
      <c r="AT198" t="str">
        <f t="shared" si="137"/>
        <v/>
      </c>
      <c r="AU198" t="str">
        <f t="shared" si="121"/>
        <v/>
      </c>
      <c r="AV198" t="str">
        <f>IF(B198="","",step01标题尺码信息!$T$36)</f>
        <v/>
      </c>
      <c r="AZ198" t="str">
        <f>IF(B198="","",step01标题尺码信息!$S$41)</f>
        <v/>
      </c>
      <c r="BA198" t="str">
        <f>IF(B198="","",step01标题尺码信息!$S$43)</f>
        <v/>
      </c>
      <c r="BB198" t="str">
        <f>IF(B198="","",step01标题尺码信息!$S$45)</f>
        <v/>
      </c>
      <c r="BC198" t="str">
        <f>IF(B198="","",step01标题尺码信息!$S$47)</f>
        <v/>
      </c>
      <c r="BD198" t="str">
        <f>IF(B198="","",step01标题尺码信息!$S$49)</f>
        <v/>
      </c>
      <c r="BE198" t="str">
        <f>IF(B198="","",step01标题尺码信息!$S$53)</f>
        <v/>
      </c>
      <c r="BH198" t="str">
        <f ca="1">IF(B198="","",IF(DX198="Parent","",VLOOKUP(B198,step01标题尺码信息!G:P,7,0)))</f>
        <v/>
      </c>
      <c r="BI198" t="str">
        <f ca="1">IF(B198="","",IF(DX198="Parent","",VLOOKUP(B198,step01标题尺码信息!G:P,8,0)))</f>
        <v/>
      </c>
      <c r="BK198" t="str">
        <f t="shared" si="122"/>
        <v/>
      </c>
      <c r="BL198" t="str">
        <f t="shared" si="123"/>
        <v/>
      </c>
      <c r="BO198" t="str">
        <f t="shared" si="124"/>
        <v/>
      </c>
      <c r="BR198" t="str">
        <f ca="1">IF(B198="","",IF(AS198="Parent","",VLOOKUP(B198,step01标题尺码信息!G:P,9,0)))</f>
        <v/>
      </c>
      <c r="CY198" t="str">
        <f t="shared" si="125"/>
        <v/>
      </c>
      <c r="DG198" t="str">
        <f>IF(B198="","",step01标题尺码信息!$T$30)</f>
        <v/>
      </c>
      <c r="DH198" t="str">
        <f t="shared" si="126"/>
        <v/>
      </c>
      <c r="DN198" t="str">
        <f ca="1" t="shared" si="127"/>
        <v/>
      </c>
      <c r="DW198" t="str">
        <f t="shared" si="128"/>
        <v/>
      </c>
      <c r="ER198" t="str">
        <f>IF(B198="","",step01标题尺码信息!$T$37)</f>
        <v/>
      </c>
      <c r="ES198" t="str">
        <f t="shared" si="129"/>
        <v/>
      </c>
      <c r="HF198" t="str">
        <f>IF(B198="","",step01标题尺码信息!$S$2)</f>
        <v/>
      </c>
      <c r="HH198" t="str">
        <f t="shared" si="130"/>
        <v/>
      </c>
      <c r="HI198" t="str">
        <f t="shared" si="131"/>
        <v/>
      </c>
      <c r="HL198" t="str">
        <f t="shared" si="132"/>
        <v/>
      </c>
      <c r="IA198" t="str">
        <f t="shared" si="133"/>
        <v/>
      </c>
    </row>
    <row r="199" spans="1:235">
      <c r="A199" t="str">
        <f>IF(B199="","",step01标题尺码信息!$B$3)</f>
        <v/>
      </c>
      <c r="B199" t="str">
        <f>IF(step01标题尺码信息!G201="","",step01标题尺码信息!G201)</f>
        <v/>
      </c>
      <c r="C199" t="str">
        <f>IF(B199="","",step01标题尺码信息!$E$3)</f>
        <v/>
      </c>
      <c r="D199" t="str">
        <f t="shared" si="115"/>
        <v/>
      </c>
      <c r="E199" t="str">
        <f ca="1">IF(B199="","",VLOOKUP(B199,step01标题尺码信息!G:P,4,0))</f>
        <v/>
      </c>
      <c r="H199" t="str">
        <f>IF(B199="","",step01标题尺码信息!$R$19)</f>
        <v/>
      </c>
      <c r="I199" t="str">
        <f t="shared" si="116"/>
        <v/>
      </c>
      <c r="M199" t="str">
        <f t="shared" si="117"/>
        <v/>
      </c>
      <c r="U199" t="str">
        <f>IF(B199="","",step01标题尺码信息!$S$1)</f>
        <v/>
      </c>
      <c r="V199" t="str">
        <f t="shared" si="118"/>
        <v/>
      </c>
      <c r="W199" t="str">
        <f>IF(B199="","",step01标题尺码信息!$V$1)</f>
        <v/>
      </c>
      <c r="X199" t="str">
        <f>IF(B199="","",step01标题尺码信息!$V$2)</f>
        <v/>
      </c>
      <c r="Y199" t="str">
        <f t="shared" si="119"/>
        <v/>
      </c>
      <c r="Z199" t="str">
        <f t="shared" si="120"/>
        <v/>
      </c>
      <c r="AA199" t="str">
        <f ca="1">IF(B199="","",IF(CB199="Parent","",VLOOKUP(B199,step01标题尺码信息!G:P,9,0)))</f>
        <v/>
      </c>
      <c r="AG199" t="str">
        <f t="shared" si="134"/>
        <v/>
      </c>
      <c r="AH199" t="str">
        <f t="shared" si="135"/>
        <v/>
      </c>
      <c r="AI199" t="str">
        <f ca="1">IF(OR(B199="",VLOOKUP(BH199,step02图片链接!B:E,4,0)=""),"",VLOOKUP(BH199,step02图片链接!B:E,4,0))</f>
        <v/>
      </c>
      <c r="AJ199" t="str">
        <f ca="1">IF(OR(B199="",VLOOKUP(BH199,step02图片链接!B:G,6,0)=""),"",VLOOKUP(BH199,step02图片链接!B:G,6,0))</f>
        <v/>
      </c>
      <c r="AK199" t="str">
        <f ca="1">IF(OR(B199="",VLOOKUP(BH199,step02图片链接!B:H,7,0)=""),"",VLOOKUP(BH199,step02图片链接!B:H,7,0))</f>
        <v/>
      </c>
      <c r="AL199" t="str">
        <f ca="1">IF(OR(B199="",VLOOKUP(BH199,step02图片链接!B:I,8,0)=""),"",VLOOKUP(BH199,step02图片链接!B:I,8,0))</f>
        <v/>
      </c>
      <c r="AM199" t="str">
        <f ca="1">IF(OR(B199="",VLOOKUP(BH199,step02图片链接!B:J,9,0)=""),"",VLOOKUP(BH199,step02图片链接!B:J,9,0))</f>
        <v/>
      </c>
      <c r="AN199" t="str">
        <f ca="1">IF(OR(B199="",VLOOKUP(BH199,step02图片链接!B:K,10,0)=""),"",VLOOKUP(BH199,step02图片链接!B:K,10,0))</f>
        <v/>
      </c>
      <c r="AO199" t="str">
        <f ca="1">IF(OR(B199="",VLOOKUP(BH199,step02图片链接!B:L,11,0)=""),"",VLOOKUP(BH199,step02图片链接!B:L,11,0))</f>
        <v/>
      </c>
      <c r="AP199" t="str">
        <f ca="1">IF(OR(B199="",VLOOKUP(BH199,step02图片链接!B:M,12,0)=""),"",VLOOKUP(BH199,step02图片链接!B:M,12,0))</f>
        <v/>
      </c>
      <c r="AQ199" t="str">
        <f ca="1">IF(OR(B199="",VLOOKUP(BH199,step02图片链接!B:N,13,0)=""),"",VLOOKUP(BH199,step02图片链接!B:N,13,0))</f>
        <v/>
      </c>
      <c r="AS199" t="str">
        <f t="shared" si="136"/>
        <v/>
      </c>
      <c r="AT199" t="str">
        <f t="shared" si="137"/>
        <v/>
      </c>
      <c r="AU199" t="str">
        <f t="shared" si="121"/>
        <v/>
      </c>
      <c r="AV199" t="str">
        <f>IF(B199="","",step01标题尺码信息!$T$36)</f>
        <v/>
      </c>
      <c r="AZ199" t="str">
        <f>IF(B199="","",step01标题尺码信息!$S$41)</f>
        <v/>
      </c>
      <c r="BA199" t="str">
        <f>IF(B199="","",step01标题尺码信息!$S$43)</f>
        <v/>
      </c>
      <c r="BB199" t="str">
        <f>IF(B199="","",step01标题尺码信息!$S$45)</f>
        <v/>
      </c>
      <c r="BC199" t="str">
        <f>IF(B199="","",step01标题尺码信息!$S$47)</f>
        <v/>
      </c>
      <c r="BD199" t="str">
        <f>IF(B199="","",step01标题尺码信息!$S$49)</f>
        <v/>
      </c>
      <c r="BE199" t="str">
        <f>IF(B199="","",step01标题尺码信息!$S$53)</f>
        <v/>
      </c>
      <c r="BH199" t="str">
        <f ca="1">IF(B199="","",IF(DX199="Parent","",VLOOKUP(B199,step01标题尺码信息!G:P,7,0)))</f>
        <v/>
      </c>
      <c r="BI199" t="str">
        <f ca="1">IF(B199="","",IF(DX199="Parent","",VLOOKUP(B199,step01标题尺码信息!G:P,8,0)))</f>
        <v/>
      </c>
      <c r="BK199" t="str">
        <f t="shared" si="122"/>
        <v/>
      </c>
      <c r="BL199" t="str">
        <f t="shared" si="123"/>
        <v/>
      </c>
      <c r="BO199" t="str">
        <f t="shared" si="124"/>
        <v/>
      </c>
      <c r="BR199" t="str">
        <f ca="1">IF(B199="","",IF(AS199="Parent","",VLOOKUP(B199,step01标题尺码信息!G:P,9,0)))</f>
        <v/>
      </c>
      <c r="CY199" t="str">
        <f t="shared" si="125"/>
        <v/>
      </c>
      <c r="DG199" t="str">
        <f>IF(B199="","",step01标题尺码信息!$T$30)</f>
        <v/>
      </c>
      <c r="DH199" t="str">
        <f t="shared" si="126"/>
        <v/>
      </c>
      <c r="DN199" t="str">
        <f ca="1" t="shared" si="127"/>
        <v/>
      </c>
      <c r="DW199" t="str">
        <f t="shared" si="128"/>
        <v/>
      </c>
      <c r="ER199" t="str">
        <f>IF(B199="","",step01标题尺码信息!$T$37)</f>
        <v/>
      </c>
      <c r="ES199" t="str">
        <f t="shared" si="129"/>
        <v/>
      </c>
      <c r="HF199" t="str">
        <f>IF(B199="","",step01标题尺码信息!$S$2)</f>
        <v/>
      </c>
      <c r="HH199" t="str">
        <f t="shared" si="130"/>
        <v/>
      </c>
      <c r="HI199" t="str">
        <f t="shared" si="131"/>
        <v/>
      </c>
      <c r="HL199" t="str">
        <f t="shared" si="132"/>
        <v/>
      </c>
      <c r="IA199" t="str">
        <f t="shared" si="133"/>
        <v/>
      </c>
    </row>
    <row r="200" spans="1:235">
      <c r="A200" t="str">
        <f>IF(B200="","",step01标题尺码信息!$B$3)</f>
        <v/>
      </c>
      <c r="B200" t="str">
        <f>IF(step01标题尺码信息!G202="","",step01标题尺码信息!G202)</f>
        <v/>
      </c>
      <c r="C200" t="str">
        <f>IF(B200="","",step01标题尺码信息!$E$3)</f>
        <v/>
      </c>
      <c r="D200" t="str">
        <f t="shared" si="115"/>
        <v/>
      </c>
      <c r="E200" t="str">
        <f ca="1">IF(B200="","",VLOOKUP(B200,step01标题尺码信息!G:P,4,0))</f>
        <v/>
      </c>
      <c r="H200" t="str">
        <f>IF(B200="","",step01标题尺码信息!$R$19)</f>
        <v/>
      </c>
      <c r="I200" t="str">
        <f t="shared" si="116"/>
        <v/>
      </c>
      <c r="M200" t="str">
        <f t="shared" si="117"/>
        <v/>
      </c>
      <c r="U200" t="str">
        <f>IF(B200="","",step01标题尺码信息!$S$1)</f>
        <v/>
      </c>
      <c r="V200" t="str">
        <f t="shared" si="118"/>
        <v/>
      </c>
      <c r="W200" t="str">
        <f>IF(B200="","",step01标题尺码信息!$V$1)</f>
        <v/>
      </c>
      <c r="X200" t="str">
        <f>IF(B200="","",step01标题尺码信息!$V$2)</f>
        <v/>
      </c>
      <c r="Y200" t="str">
        <f t="shared" si="119"/>
        <v/>
      </c>
      <c r="Z200" t="str">
        <f t="shared" si="120"/>
        <v/>
      </c>
      <c r="AA200" t="str">
        <f ca="1">IF(B200="","",IF(CB200="Parent","",VLOOKUP(B200,step01标题尺码信息!G:P,9,0)))</f>
        <v/>
      </c>
      <c r="AG200" t="str">
        <f t="shared" si="134"/>
        <v/>
      </c>
      <c r="AH200" t="str">
        <f t="shared" si="135"/>
        <v/>
      </c>
      <c r="AI200" t="str">
        <f ca="1">IF(OR(B200="",VLOOKUP(BH200,step02图片链接!B:E,4,0)=""),"",VLOOKUP(BH200,step02图片链接!B:E,4,0))</f>
        <v/>
      </c>
      <c r="AJ200" t="str">
        <f ca="1">IF(OR(B200="",VLOOKUP(BH200,step02图片链接!B:G,6,0)=""),"",VLOOKUP(BH200,step02图片链接!B:G,6,0))</f>
        <v/>
      </c>
      <c r="AK200" t="str">
        <f ca="1">IF(OR(B200="",VLOOKUP(BH200,step02图片链接!B:H,7,0)=""),"",VLOOKUP(BH200,step02图片链接!B:H,7,0))</f>
        <v/>
      </c>
      <c r="AL200" t="str">
        <f ca="1">IF(OR(B200="",VLOOKUP(BH200,step02图片链接!B:I,8,0)=""),"",VLOOKUP(BH200,step02图片链接!B:I,8,0))</f>
        <v/>
      </c>
      <c r="AM200" t="str">
        <f ca="1">IF(OR(B200="",VLOOKUP(BH200,step02图片链接!B:J,9,0)=""),"",VLOOKUP(BH200,step02图片链接!B:J,9,0))</f>
        <v/>
      </c>
      <c r="AN200" t="str">
        <f ca="1">IF(OR(B200="",VLOOKUP(BH200,step02图片链接!B:K,10,0)=""),"",VLOOKUP(BH200,step02图片链接!B:K,10,0))</f>
        <v/>
      </c>
      <c r="AO200" t="str">
        <f ca="1">IF(OR(B200="",VLOOKUP(BH200,step02图片链接!B:L,11,0)=""),"",VLOOKUP(BH200,step02图片链接!B:L,11,0))</f>
        <v/>
      </c>
      <c r="AP200" t="str">
        <f ca="1">IF(OR(B200="",VLOOKUP(BH200,step02图片链接!B:M,12,0)=""),"",VLOOKUP(BH200,step02图片链接!B:M,12,0))</f>
        <v/>
      </c>
      <c r="AQ200" t="str">
        <f ca="1">IF(OR(B200="",VLOOKUP(BH200,step02图片链接!B:N,13,0)=""),"",VLOOKUP(BH200,step02图片链接!B:N,13,0))</f>
        <v/>
      </c>
      <c r="AS200" t="str">
        <f t="shared" si="136"/>
        <v/>
      </c>
      <c r="AT200" t="str">
        <f t="shared" si="137"/>
        <v/>
      </c>
      <c r="AU200" t="str">
        <f t="shared" si="121"/>
        <v/>
      </c>
      <c r="AV200" t="str">
        <f>IF(B200="","",step01标题尺码信息!$T$36)</f>
        <v/>
      </c>
      <c r="AZ200" t="str">
        <f>IF(B200="","",step01标题尺码信息!$S$41)</f>
        <v/>
      </c>
      <c r="BA200" t="str">
        <f>IF(B200="","",step01标题尺码信息!$S$43)</f>
        <v/>
      </c>
      <c r="BB200" t="str">
        <f>IF(B200="","",step01标题尺码信息!$S$45)</f>
        <v/>
      </c>
      <c r="BC200" t="str">
        <f>IF(B200="","",step01标题尺码信息!$S$47)</f>
        <v/>
      </c>
      <c r="BD200" t="str">
        <f>IF(B200="","",step01标题尺码信息!$S$49)</f>
        <v/>
      </c>
      <c r="BE200" t="str">
        <f>IF(B200="","",step01标题尺码信息!$S$53)</f>
        <v/>
      </c>
      <c r="BH200" t="str">
        <f ca="1">IF(B200="","",IF(DX200="Parent","",VLOOKUP(B200,step01标题尺码信息!G:P,7,0)))</f>
        <v/>
      </c>
      <c r="BI200" t="str">
        <f ca="1">IF(B200="","",IF(DX200="Parent","",VLOOKUP(B200,step01标题尺码信息!G:P,8,0)))</f>
        <v/>
      </c>
      <c r="BK200" t="str">
        <f t="shared" si="122"/>
        <v/>
      </c>
      <c r="BL200" t="str">
        <f t="shared" si="123"/>
        <v/>
      </c>
      <c r="BO200" t="str">
        <f t="shared" si="124"/>
        <v/>
      </c>
      <c r="BR200" t="str">
        <f ca="1">IF(B200="","",IF(AS200="Parent","",VLOOKUP(B200,step01标题尺码信息!G:P,9,0)))</f>
        <v/>
      </c>
      <c r="CY200" t="str">
        <f t="shared" si="125"/>
        <v/>
      </c>
      <c r="DG200" t="str">
        <f>IF(B200="","",step01标题尺码信息!$T$30)</f>
        <v/>
      </c>
      <c r="DH200" t="str">
        <f t="shared" si="126"/>
        <v/>
      </c>
      <c r="DN200" t="str">
        <f ca="1" t="shared" si="127"/>
        <v/>
      </c>
      <c r="DW200" t="str">
        <f t="shared" si="128"/>
        <v/>
      </c>
      <c r="ER200" t="str">
        <f>IF(B200="","",step01标题尺码信息!$T$37)</f>
        <v/>
      </c>
      <c r="ES200" t="str">
        <f t="shared" si="129"/>
        <v/>
      </c>
      <c r="HF200" t="str">
        <f>IF(B200="","",step01标题尺码信息!$S$2)</f>
        <v/>
      </c>
      <c r="HH200" t="str">
        <f t="shared" si="130"/>
        <v/>
      </c>
      <c r="HI200" t="str">
        <f t="shared" si="131"/>
        <v/>
      </c>
      <c r="HL200" t="str">
        <f t="shared" si="132"/>
        <v/>
      </c>
      <c r="IA200" t="str">
        <f t="shared" si="133"/>
        <v/>
      </c>
    </row>
    <row r="201" spans="1:235">
      <c r="A201" t="str">
        <f>IF(B201="","",step01标题尺码信息!$B$3)</f>
        <v/>
      </c>
      <c r="B201" t="str">
        <f>IF(step01标题尺码信息!G203="","",step01标题尺码信息!G203)</f>
        <v/>
      </c>
      <c r="C201" t="str">
        <f>IF(B201="","",step01标题尺码信息!$E$3)</f>
        <v/>
      </c>
      <c r="D201" t="str">
        <f t="shared" si="115"/>
        <v/>
      </c>
      <c r="E201" t="str">
        <f ca="1">IF(B201="","",VLOOKUP(B201,step01标题尺码信息!G:P,4,0))</f>
        <v/>
      </c>
      <c r="H201" t="str">
        <f>IF(B201="","",step01标题尺码信息!$R$19)</f>
        <v/>
      </c>
      <c r="I201" t="str">
        <f t="shared" si="116"/>
        <v/>
      </c>
      <c r="M201" t="str">
        <f t="shared" si="117"/>
        <v/>
      </c>
      <c r="U201" t="str">
        <f>IF(B201="","",step01标题尺码信息!$S$1)</f>
        <v/>
      </c>
      <c r="V201" t="str">
        <f t="shared" si="118"/>
        <v/>
      </c>
      <c r="W201" t="str">
        <f>IF(B201="","",step01标题尺码信息!$V$1)</f>
        <v/>
      </c>
      <c r="X201" t="str">
        <f>IF(B201="","",step01标题尺码信息!$V$2)</f>
        <v/>
      </c>
      <c r="Y201" t="str">
        <f t="shared" si="119"/>
        <v/>
      </c>
      <c r="Z201" t="str">
        <f t="shared" si="120"/>
        <v/>
      </c>
      <c r="AA201" t="str">
        <f ca="1">IF(B201="","",IF(CB201="Parent","",VLOOKUP(B201,step01标题尺码信息!G:P,9,0)))</f>
        <v/>
      </c>
      <c r="AG201" t="str">
        <f t="shared" si="134"/>
        <v/>
      </c>
      <c r="AH201" t="str">
        <f t="shared" si="135"/>
        <v/>
      </c>
      <c r="AI201" t="str">
        <f ca="1">IF(OR(B201="",VLOOKUP(BH201,step02图片链接!B:E,4,0)=""),"",VLOOKUP(BH201,step02图片链接!B:E,4,0))</f>
        <v/>
      </c>
      <c r="AJ201" t="str">
        <f ca="1">IF(OR(B201="",VLOOKUP(BH201,step02图片链接!B:G,6,0)=""),"",VLOOKUP(BH201,step02图片链接!B:G,6,0))</f>
        <v/>
      </c>
      <c r="AK201" t="str">
        <f ca="1">IF(OR(B201="",VLOOKUP(BH201,step02图片链接!B:H,7,0)=""),"",VLOOKUP(BH201,step02图片链接!B:H,7,0))</f>
        <v/>
      </c>
      <c r="AL201" t="str">
        <f ca="1">IF(OR(B201="",VLOOKUP(BH201,step02图片链接!B:I,8,0)=""),"",VLOOKUP(BH201,step02图片链接!B:I,8,0))</f>
        <v/>
      </c>
      <c r="AM201" t="str">
        <f ca="1">IF(OR(B201="",VLOOKUP(BH201,step02图片链接!B:J,9,0)=""),"",VLOOKUP(BH201,step02图片链接!B:J,9,0))</f>
        <v/>
      </c>
      <c r="AN201" t="str">
        <f ca="1">IF(OR(B201="",VLOOKUP(BH201,step02图片链接!B:K,10,0)=""),"",VLOOKUP(BH201,step02图片链接!B:K,10,0))</f>
        <v/>
      </c>
      <c r="AO201" t="str">
        <f ca="1">IF(OR(B201="",VLOOKUP(BH201,step02图片链接!B:L,11,0)=""),"",VLOOKUP(BH201,step02图片链接!B:L,11,0))</f>
        <v/>
      </c>
      <c r="AP201" t="str">
        <f ca="1">IF(OR(B201="",VLOOKUP(BH201,step02图片链接!B:M,12,0)=""),"",VLOOKUP(BH201,step02图片链接!B:M,12,0))</f>
        <v/>
      </c>
      <c r="AQ201" t="str">
        <f ca="1">IF(OR(B201="",VLOOKUP(BH201,step02图片链接!B:N,13,0)=""),"",VLOOKUP(BH201,step02图片链接!B:N,13,0))</f>
        <v/>
      </c>
      <c r="AS201" t="str">
        <f t="shared" si="136"/>
        <v/>
      </c>
      <c r="AT201" t="str">
        <f t="shared" si="137"/>
        <v/>
      </c>
      <c r="AU201" t="str">
        <f t="shared" si="121"/>
        <v/>
      </c>
      <c r="AV201" t="str">
        <f>IF(B201="","",step01标题尺码信息!$T$36)</f>
        <v/>
      </c>
      <c r="AZ201" t="str">
        <f>IF(B201="","",step01标题尺码信息!$S$41)</f>
        <v/>
      </c>
      <c r="BA201" t="str">
        <f>IF(B201="","",step01标题尺码信息!$S$43)</f>
        <v/>
      </c>
      <c r="BB201" t="str">
        <f>IF(B201="","",step01标题尺码信息!$S$45)</f>
        <v/>
      </c>
      <c r="BC201" t="str">
        <f>IF(B201="","",step01标题尺码信息!$S$47)</f>
        <v/>
      </c>
      <c r="BD201" t="str">
        <f>IF(B201="","",step01标题尺码信息!$S$49)</f>
        <v/>
      </c>
      <c r="BE201" t="str">
        <f>IF(B201="","",step01标题尺码信息!$S$53)</f>
        <v/>
      </c>
      <c r="BH201" t="str">
        <f ca="1">IF(B201="","",IF(DX201="Parent","",VLOOKUP(B201,step01标题尺码信息!G:P,7,0)))</f>
        <v/>
      </c>
      <c r="BI201" t="str">
        <f ca="1">IF(B201="","",IF(DX201="Parent","",VLOOKUP(B201,step01标题尺码信息!G:P,8,0)))</f>
        <v/>
      </c>
      <c r="BK201" t="str">
        <f t="shared" si="122"/>
        <v/>
      </c>
      <c r="BL201" t="str">
        <f t="shared" si="123"/>
        <v/>
      </c>
      <c r="BO201" t="str">
        <f t="shared" si="124"/>
        <v/>
      </c>
      <c r="BR201" t="str">
        <f ca="1">IF(B201="","",IF(AS201="Parent","",VLOOKUP(B201,step01标题尺码信息!G:P,9,0)))</f>
        <v/>
      </c>
      <c r="CY201" t="str">
        <f t="shared" si="125"/>
        <v/>
      </c>
      <c r="DG201" t="str">
        <f>IF(B201="","",step01标题尺码信息!$T$30)</f>
        <v/>
      </c>
      <c r="DH201" t="str">
        <f t="shared" si="126"/>
        <v/>
      </c>
      <c r="DN201" t="str">
        <f ca="1" t="shared" si="127"/>
        <v/>
      </c>
      <c r="DW201" t="str">
        <f t="shared" si="128"/>
        <v/>
      </c>
      <c r="ER201" t="str">
        <f>IF(B201="","",step01标题尺码信息!$T$37)</f>
        <v/>
      </c>
      <c r="ES201" t="str">
        <f t="shared" si="129"/>
        <v/>
      </c>
      <c r="HF201" t="str">
        <f>IF(B201="","",step01标题尺码信息!$S$2)</f>
        <v/>
      </c>
      <c r="HH201" t="str">
        <f t="shared" si="130"/>
        <v/>
      </c>
      <c r="HI201" t="str">
        <f t="shared" si="131"/>
        <v/>
      </c>
      <c r="HL201" t="str">
        <f t="shared" si="132"/>
        <v/>
      </c>
      <c r="IA201" t="str">
        <f t="shared" si="133"/>
        <v/>
      </c>
    </row>
    <row r="202" spans="1:235">
      <c r="A202" t="str">
        <f>IF(B202="","",step01标题尺码信息!$B$3)</f>
        <v/>
      </c>
      <c r="B202" t="str">
        <f>IF(step01标题尺码信息!G204="","",step01标题尺码信息!G204)</f>
        <v/>
      </c>
      <c r="C202" t="str">
        <f>IF(B202="","",step01标题尺码信息!$E$3)</f>
        <v/>
      </c>
      <c r="D202" t="str">
        <f t="shared" si="115"/>
        <v/>
      </c>
      <c r="E202" t="str">
        <f ca="1">IF(B202="","",VLOOKUP(B202,step01标题尺码信息!G:P,4,0))</f>
        <v/>
      </c>
      <c r="H202" t="str">
        <f>IF(B202="","",step01标题尺码信息!$R$19)</f>
        <v/>
      </c>
      <c r="I202" t="str">
        <f t="shared" si="116"/>
        <v/>
      </c>
      <c r="M202" t="str">
        <f t="shared" si="117"/>
        <v/>
      </c>
      <c r="U202" t="str">
        <f>IF(B202="","",step01标题尺码信息!$S$1)</f>
        <v/>
      </c>
      <c r="V202" t="str">
        <f t="shared" si="118"/>
        <v/>
      </c>
      <c r="W202" t="str">
        <f>IF(B202="","",step01标题尺码信息!$V$1)</f>
        <v/>
      </c>
      <c r="X202" t="str">
        <f>IF(B202="","",step01标题尺码信息!$V$2)</f>
        <v/>
      </c>
      <c r="Y202" t="str">
        <f t="shared" si="119"/>
        <v/>
      </c>
      <c r="Z202" t="str">
        <f t="shared" si="120"/>
        <v/>
      </c>
      <c r="AA202" t="str">
        <f ca="1">IF(B202="","",IF(CB202="Parent","",VLOOKUP(B202,step01标题尺码信息!G:P,9,0)))</f>
        <v/>
      </c>
      <c r="AG202" t="str">
        <f t="shared" si="134"/>
        <v/>
      </c>
      <c r="AH202" t="str">
        <f t="shared" si="135"/>
        <v/>
      </c>
      <c r="AI202" t="str">
        <f ca="1">IF(OR(B202="",VLOOKUP(BH202,step02图片链接!B:E,4,0)=""),"",VLOOKUP(BH202,step02图片链接!B:E,4,0))</f>
        <v/>
      </c>
      <c r="AJ202" t="str">
        <f ca="1">IF(OR(B202="",VLOOKUP(BH202,step02图片链接!B:G,6,0)=""),"",VLOOKUP(BH202,step02图片链接!B:G,6,0))</f>
        <v/>
      </c>
      <c r="AK202" t="str">
        <f ca="1">IF(OR(B202="",VLOOKUP(BH202,step02图片链接!B:H,7,0)=""),"",VLOOKUP(BH202,step02图片链接!B:H,7,0))</f>
        <v/>
      </c>
      <c r="AL202" t="str">
        <f ca="1">IF(OR(B202="",VLOOKUP(BH202,step02图片链接!B:I,8,0)=""),"",VLOOKUP(BH202,step02图片链接!B:I,8,0))</f>
        <v/>
      </c>
      <c r="AM202" t="str">
        <f ca="1">IF(OR(B202="",VLOOKUP(BH202,step02图片链接!B:J,9,0)=""),"",VLOOKUP(BH202,step02图片链接!B:J,9,0))</f>
        <v/>
      </c>
      <c r="AN202" t="str">
        <f ca="1">IF(OR(B202="",VLOOKUP(BH202,step02图片链接!B:K,10,0)=""),"",VLOOKUP(BH202,step02图片链接!B:K,10,0))</f>
        <v/>
      </c>
      <c r="AO202" t="str">
        <f ca="1">IF(OR(B202="",VLOOKUP(BH202,step02图片链接!B:L,11,0)=""),"",VLOOKUP(BH202,step02图片链接!B:L,11,0))</f>
        <v/>
      </c>
      <c r="AP202" t="str">
        <f ca="1">IF(OR(B202="",VLOOKUP(BH202,step02图片链接!B:M,12,0)=""),"",VLOOKUP(BH202,step02图片链接!B:M,12,0))</f>
        <v/>
      </c>
      <c r="AQ202" t="str">
        <f ca="1">IF(OR(B202="",VLOOKUP(BH202,step02图片链接!B:N,13,0)=""),"",VLOOKUP(BH202,step02图片链接!B:N,13,0))</f>
        <v/>
      </c>
      <c r="AS202" t="str">
        <f t="shared" si="136"/>
        <v/>
      </c>
      <c r="AT202" t="str">
        <f t="shared" si="137"/>
        <v/>
      </c>
      <c r="AU202" t="str">
        <f t="shared" si="121"/>
        <v/>
      </c>
      <c r="AV202" t="str">
        <f>IF(B202="","",step01标题尺码信息!$T$36)</f>
        <v/>
      </c>
      <c r="AZ202" t="str">
        <f>IF(B202="","",step01标题尺码信息!$S$41)</f>
        <v/>
      </c>
      <c r="BA202" t="str">
        <f>IF(B202="","",step01标题尺码信息!$S$43)</f>
        <v/>
      </c>
      <c r="BB202" t="str">
        <f>IF(B202="","",step01标题尺码信息!$S$45)</f>
        <v/>
      </c>
      <c r="BC202" t="str">
        <f>IF(B202="","",step01标题尺码信息!$S$47)</f>
        <v/>
      </c>
      <c r="BD202" t="str">
        <f>IF(B202="","",step01标题尺码信息!$S$49)</f>
        <v/>
      </c>
      <c r="BE202" t="str">
        <f>IF(B202="","",step01标题尺码信息!$S$53)</f>
        <v/>
      </c>
      <c r="BH202" t="str">
        <f ca="1">IF(B202="","",IF(DX202="Parent","",VLOOKUP(B202,step01标题尺码信息!G:P,7,0)))</f>
        <v/>
      </c>
      <c r="BI202" t="str">
        <f ca="1">IF(B202="","",IF(DX202="Parent","",VLOOKUP(B202,step01标题尺码信息!G:P,8,0)))</f>
        <v/>
      </c>
      <c r="BK202" t="str">
        <f t="shared" si="122"/>
        <v/>
      </c>
      <c r="BL202" t="str">
        <f t="shared" si="123"/>
        <v/>
      </c>
      <c r="BO202" t="str">
        <f t="shared" si="124"/>
        <v/>
      </c>
      <c r="BR202" t="str">
        <f ca="1">IF(B202="","",IF(AS202="Parent","",VLOOKUP(B202,step01标题尺码信息!G:P,9,0)))</f>
        <v/>
      </c>
      <c r="CY202" t="str">
        <f t="shared" si="125"/>
        <v/>
      </c>
      <c r="DG202" t="str">
        <f>IF(B202="","",step01标题尺码信息!$T$30)</f>
        <v/>
      </c>
      <c r="DH202" t="str">
        <f t="shared" si="126"/>
        <v/>
      </c>
      <c r="DN202" t="str">
        <f ca="1" t="shared" si="127"/>
        <v/>
      </c>
      <c r="DW202" t="str">
        <f t="shared" si="128"/>
        <v/>
      </c>
      <c r="ER202" t="str">
        <f>IF(B202="","",step01标题尺码信息!$T$37)</f>
        <v/>
      </c>
      <c r="ES202" t="str">
        <f t="shared" si="129"/>
        <v/>
      </c>
      <c r="HF202" t="str">
        <f>IF(B202="","",step01标题尺码信息!$S$2)</f>
        <v/>
      </c>
      <c r="HH202" t="str">
        <f t="shared" si="130"/>
        <v/>
      </c>
      <c r="HI202" t="str">
        <f t="shared" si="131"/>
        <v/>
      </c>
      <c r="HL202" t="str">
        <f t="shared" si="132"/>
        <v/>
      </c>
      <c r="IA202" t="str">
        <f t="shared" si="133"/>
        <v/>
      </c>
    </row>
    <row r="203" spans="1:235">
      <c r="A203" t="str">
        <f>IF(B203="","",step01标题尺码信息!$B$3)</f>
        <v/>
      </c>
      <c r="B203" t="str">
        <f>IF(step01标题尺码信息!G205="","",step01标题尺码信息!G205)</f>
        <v/>
      </c>
      <c r="C203" t="str">
        <f>IF(B203="","",step01标题尺码信息!$E$3)</f>
        <v/>
      </c>
      <c r="D203" t="str">
        <f t="shared" si="115"/>
        <v/>
      </c>
      <c r="E203" t="str">
        <f ca="1">IF(B203="","",VLOOKUP(B203,step01标题尺码信息!G:P,4,0))</f>
        <v/>
      </c>
      <c r="H203" t="str">
        <f>IF(B203="","",step01标题尺码信息!$R$19)</f>
        <v/>
      </c>
      <c r="I203" t="str">
        <f t="shared" si="116"/>
        <v/>
      </c>
      <c r="M203" t="str">
        <f t="shared" si="117"/>
        <v/>
      </c>
      <c r="U203" t="str">
        <f>IF(B203="","",step01标题尺码信息!$S$1)</f>
        <v/>
      </c>
      <c r="V203" t="str">
        <f t="shared" si="118"/>
        <v/>
      </c>
      <c r="W203" t="str">
        <f>IF(B203="","",step01标题尺码信息!$V$1)</f>
        <v/>
      </c>
      <c r="X203" t="str">
        <f>IF(B203="","",step01标题尺码信息!$V$2)</f>
        <v/>
      </c>
      <c r="Y203" t="str">
        <f t="shared" si="119"/>
        <v/>
      </c>
      <c r="Z203" t="str">
        <f t="shared" si="120"/>
        <v/>
      </c>
      <c r="AA203" t="str">
        <f ca="1">IF(B203="","",IF(CB203="Parent","",VLOOKUP(B203,step01标题尺码信息!G:P,9,0)))</f>
        <v/>
      </c>
      <c r="AG203" t="str">
        <f t="shared" si="134"/>
        <v/>
      </c>
      <c r="AH203" t="str">
        <f t="shared" si="135"/>
        <v/>
      </c>
      <c r="AI203" t="str">
        <f ca="1">IF(OR(B203="",VLOOKUP(BH203,step02图片链接!B:E,4,0)=""),"",VLOOKUP(BH203,step02图片链接!B:E,4,0))</f>
        <v/>
      </c>
      <c r="AJ203" t="str">
        <f ca="1">IF(OR(B203="",VLOOKUP(BH203,step02图片链接!B:G,6,0)=""),"",VLOOKUP(BH203,step02图片链接!B:G,6,0))</f>
        <v/>
      </c>
      <c r="AK203" t="str">
        <f ca="1">IF(OR(B203="",VLOOKUP(BH203,step02图片链接!B:H,7,0)=""),"",VLOOKUP(BH203,step02图片链接!B:H,7,0))</f>
        <v/>
      </c>
      <c r="AL203" t="str">
        <f ca="1">IF(OR(B203="",VLOOKUP(BH203,step02图片链接!B:I,8,0)=""),"",VLOOKUP(BH203,step02图片链接!B:I,8,0))</f>
        <v/>
      </c>
      <c r="AM203" t="str">
        <f ca="1">IF(OR(B203="",VLOOKUP(BH203,step02图片链接!B:J,9,0)=""),"",VLOOKUP(BH203,step02图片链接!B:J,9,0))</f>
        <v/>
      </c>
      <c r="AN203" t="str">
        <f ca="1">IF(OR(B203="",VLOOKUP(BH203,step02图片链接!B:K,10,0)=""),"",VLOOKUP(BH203,step02图片链接!B:K,10,0))</f>
        <v/>
      </c>
      <c r="AO203" t="str">
        <f ca="1">IF(OR(B203="",VLOOKUP(BH203,step02图片链接!B:L,11,0)=""),"",VLOOKUP(BH203,step02图片链接!B:L,11,0))</f>
        <v/>
      </c>
      <c r="AP203" t="str">
        <f ca="1">IF(OR(B203="",VLOOKUP(BH203,step02图片链接!B:M,12,0)=""),"",VLOOKUP(BH203,step02图片链接!B:M,12,0))</f>
        <v/>
      </c>
      <c r="AQ203" t="str">
        <f ca="1">IF(OR(B203="",VLOOKUP(BH203,step02图片链接!B:N,13,0)=""),"",VLOOKUP(BH203,step02图片链接!B:N,13,0))</f>
        <v/>
      </c>
      <c r="AS203" t="str">
        <f t="shared" si="136"/>
        <v/>
      </c>
      <c r="AT203" t="str">
        <f t="shared" si="137"/>
        <v/>
      </c>
      <c r="AU203" t="str">
        <f t="shared" si="121"/>
        <v/>
      </c>
      <c r="AV203" t="str">
        <f>IF(B203="","",step01标题尺码信息!$T$36)</f>
        <v/>
      </c>
      <c r="AZ203" t="str">
        <f>IF(B203="","",step01标题尺码信息!$S$41)</f>
        <v/>
      </c>
      <c r="BA203" t="str">
        <f>IF(B203="","",step01标题尺码信息!$S$43)</f>
        <v/>
      </c>
      <c r="BB203" t="str">
        <f>IF(B203="","",step01标题尺码信息!$S$45)</f>
        <v/>
      </c>
      <c r="BC203" t="str">
        <f>IF(B203="","",step01标题尺码信息!$S$47)</f>
        <v/>
      </c>
      <c r="BD203" t="str">
        <f>IF(B203="","",step01标题尺码信息!$S$49)</f>
        <v/>
      </c>
      <c r="BE203" t="str">
        <f>IF(B203="","",step01标题尺码信息!$S$53)</f>
        <v/>
      </c>
      <c r="BH203" t="str">
        <f ca="1">IF(B203="","",IF(DX203="Parent","",VLOOKUP(B203,step01标题尺码信息!G:P,7,0)))</f>
        <v/>
      </c>
      <c r="BI203" t="str">
        <f ca="1">IF(B203="","",IF(DX203="Parent","",VLOOKUP(B203,step01标题尺码信息!G:P,8,0)))</f>
        <v/>
      </c>
      <c r="BK203" t="str">
        <f t="shared" si="122"/>
        <v/>
      </c>
      <c r="BL203" t="str">
        <f t="shared" si="123"/>
        <v/>
      </c>
      <c r="BO203" t="str">
        <f t="shared" si="124"/>
        <v/>
      </c>
      <c r="BR203" t="str">
        <f ca="1">IF(B203="","",IF(AS203="Parent","",VLOOKUP(B203,step01标题尺码信息!G:P,9,0)))</f>
        <v/>
      </c>
      <c r="CY203" t="str">
        <f t="shared" si="125"/>
        <v/>
      </c>
      <c r="DG203" t="str">
        <f>IF(B203="","",step01标题尺码信息!$T$30)</f>
        <v/>
      </c>
      <c r="DH203" t="str">
        <f t="shared" si="126"/>
        <v/>
      </c>
      <c r="DN203" t="str">
        <f ca="1" t="shared" si="127"/>
        <v/>
      </c>
      <c r="DW203" t="str">
        <f t="shared" si="128"/>
        <v/>
      </c>
      <c r="ER203" t="str">
        <f>IF(B203="","",step01标题尺码信息!$T$37)</f>
        <v/>
      </c>
      <c r="ES203" t="str">
        <f t="shared" si="129"/>
        <v/>
      </c>
      <c r="HF203" t="str">
        <f>IF(B203="","",step01标题尺码信息!$S$2)</f>
        <v/>
      </c>
      <c r="HH203" t="str">
        <f t="shared" si="130"/>
        <v/>
      </c>
      <c r="HI203" t="str">
        <f t="shared" si="131"/>
        <v/>
      </c>
      <c r="HL203" t="str">
        <f t="shared" si="132"/>
        <v/>
      </c>
      <c r="IA203" t="str">
        <f t="shared" si="133"/>
        <v/>
      </c>
    </row>
    <row r="204" spans="1:235">
      <c r="A204" t="str">
        <f>IF(B204="","",step01标题尺码信息!$B$3)</f>
        <v/>
      </c>
      <c r="B204" t="str">
        <f>IF(step01标题尺码信息!G206="","",step01标题尺码信息!G206)</f>
        <v/>
      </c>
      <c r="C204" t="str">
        <f>IF(B204="","",step01标题尺码信息!$E$3)</f>
        <v/>
      </c>
      <c r="D204" t="str">
        <f t="shared" si="115"/>
        <v/>
      </c>
      <c r="E204" t="str">
        <f ca="1">IF(B204="","",VLOOKUP(B204,step01标题尺码信息!G:P,4,0))</f>
        <v/>
      </c>
      <c r="H204" t="str">
        <f>IF(B204="","",step01标题尺码信息!$R$19)</f>
        <v/>
      </c>
      <c r="I204" t="str">
        <f t="shared" si="116"/>
        <v/>
      </c>
      <c r="M204" t="str">
        <f t="shared" si="117"/>
        <v/>
      </c>
      <c r="U204" t="str">
        <f>IF(B204="","",step01标题尺码信息!$S$1)</f>
        <v/>
      </c>
      <c r="V204" t="str">
        <f t="shared" si="118"/>
        <v/>
      </c>
      <c r="W204" t="str">
        <f>IF(B204="","",step01标题尺码信息!$V$1)</f>
        <v/>
      </c>
      <c r="X204" t="str">
        <f>IF(B204="","",step01标题尺码信息!$V$2)</f>
        <v/>
      </c>
      <c r="Y204" t="str">
        <f t="shared" si="119"/>
        <v/>
      </c>
      <c r="Z204" t="str">
        <f t="shared" si="120"/>
        <v/>
      </c>
      <c r="AA204" t="str">
        <f ca="1">IF(B204="","",IF(CB204="Parent","",VLOOKUP(B204,step01标题尺码信息!G:P,9,0)))</f>
        <v/>
      </c>
      <c r="AS204" t="str">
        <f t="shared" si="136"/>
        <v/>
      </c>
      <c r="AT204" t="str">
        <f t="shared" si="137"/>
        <v/>
      </c>
      <c r="AU204" t="str">
        <f t="shared" si="121"/>
        <v/>
      </c>
      <c r="AV204" t="str">
        <f>IF(B204="","",step01标题尺码信息!$T$36)</f>
        <v/>
      </c>
      <c r="AZ204" t="str">
        <f>IF(B204="","",step01标题尺码信息!$S$41)</f>
        <v/>
      </c>
      <c r="BA204" t="str">
        <f>IF(B204="","",step01标题尺码信息!$S$43)</f>
        <v/>
      </c>
      <c r="BB204" t="str">
        <f>IF(B204="","",step01标题尺码信息!$S$45)</f>
        <v/>
      </c>
      <c r="BC204" t="str">
        <f>IF(B204="","",step01标题尺码信息!$S$47)</f>
        <v/>
      </c>
      <c r="BD204" t="str">
        <f>IF(B204="","",step01标题尺码信息!$S$49)</f>
        <v/>
      </c>
      <c r="BE204" t="str">
        <f>IF(B204="","",step01标题尺码信息!$S$53)</f>
        <v/>
      </c>
      <c r="BH204" t="str">
        <f ca="1">IF(B204="","",IF(DX204="Parent","",VLOOKUP(B204,step01标题尺码信息!G:P,7,0)))</f>
        <v/>
      </c>
      <c r="BI204" t="str">
        <f ca="1">IF(B204="","",IF(DX204="Parent","",VLOOKUP(B204,step01标题尺码信息!G:P,8,0)))</f>
        <v/>
      </c>
      <c r="BK204" t="str">
        <f t="shared" si="122"/>
        <v/>
      </c>
      <c r="BL204" t="str">
        <f t="shared" si="123"/>
        <v/>
      </c>
      <c r="BO204" t="str">
        <f t="shared" si="124"/>
        <v/>
      </c>
      <c r="BR204" t="str">
        <f ca="1">IF(B204="","",IF(AS204="Parent","",VLOOKUP(B204,step01标题尺码信息!G:P,9,0)))</f>
        <v/>
      </c>
      <c r="CY204" t="str">
        <f t="shared" si="125"/>
        <v/>
      </c>
      <c r="DG204" t="str">
        <f>IF(B204="","",step01标题尺码信息!$T$30)</f>
        <v/>
      </c>
      <c r="DH204" t="str">
        <f t="shared" si="126"/>
        <v/>
      </c>
      <c r="DN204" t="str">
        <f ca="1" t="shared" si="127"/>
        <v/>
      </c>
      <c r="DW204" t="str">
        <f t="shared" si="128"/>
        <v/>
      </c>
      <c r="ER204" t="str">
        <f>IF(B204="","",step01标题尺码信息!$T$37)</f>
        <v/>
      </c>
      <c r="ES204" t="str">
        <f t="shared" si="129"/>
        <v/>
      </c>
      <c r="HF204" t="str">
        <f>IF(B204="","",step01标题尺码信息!$S$2)</f>
        <v/>
      </c>
      <c r="HH204" t="str">
        <f t="shared" si="130"/>
        <v/>
      </c>
      <c r="HI204" t="str">
        <f t="shared" si="131"/>
        <v/>
      </c>
      <c r="HL204" t="str">
        <f t="shared" si="132"/>
        <v/>
      </c>
      <c r="IA204" t="str">
        <f t="shared" si="133"/>
        <v/>
      </c>
    </row>
  </sheetData>
  <dataValidations count="145">
    <dataValidation allowBlank="1" showInputMessage="1" prompt="Input an appropriate product type." sqref="A2"/>
    <dataValidation allowBlank="1" showInputMessage="1" prompt="This attribute indicates the SKU number as assigned by the contributor" sqref="B2"/>
    <dataValidation allowBlank="1" showInputMessage="1" prompt="Provide the brand name of the product" sqref="C2"/>
    <dataValidation allowBlank="1" showInputMessage="1" prompt="Select one of the following options: Update, PartialUpdate, or Delete." sqref="D2"/>
    <dataValidation allowBlank="1" showInputMessage="1" prompt="Provide a name for the item including brand, color, fit and size, if available." sqref="E2"/>
    <dataValidation allowBlank="1" showInputMessage="1" prompt="Provide the corresponding external product id value based on the type that was selected" sqref="F2"/>
    <dataValidation allowBlank="1" showInputMessage="1" prompt="The type of standard, unique identifier entered in the Product ID field. This is a required field if Product ID is provided." sqref="G2"/>
    <dataValidation allowBlank="1" showInputMessage="1" prompt="A text string; 2000 characters maximum in length. Note: Type 1 High ASCII characters (®, ©, ™, etc.) or other special characters are not supported." sqref="H2"/>
    <dataValidation allowBlank="1" showInputMessage="1" prompt="Refer to the Browse Tree Guide (BTG) for valid values." sqref="I2"/>
    <dataValidation allowBlank="1" showInputMessage="1" prompt="An alphanumeric string; 1 character minimum in length and 50 characters maximum in length." sqref="J2 M2:Q2 S2"/>
    <dataValidation allowBlank="1" showInputMessage="1" prompt="An alphanumeric string up to a maximum of 40 characters in length." sqref="K2"/>
    <dataValidation allowBlank="1" showInputMessage="1" prompt="An alphanumeric string up to a maximum of 50 characters in length." sqref="L2"/>
    <dataValidation allowBlank="1" showInputMessage="1" prompt="Provide the part number. For many products, this will be identical to the model number however some manufacturers distinguish part number from model number" sqref="R2"/>
    <dataValidation allowBlank="1" showInputMessage="1" prompt="An alphanumeric string up to a maximum of 100 characters in length." sqref="T2"/>
    <dataValidation allowBlank="1" showInputMessage="1" prompt="Up to 18 digits. Commas and currency symbols cannot be used." sqref="U2 HP2"/>
    <dataValidation allowBlank="1" showInputMessage="1" prompt="Enter the quantity of the item you are making available for sale. This is your current inventory commitment (as a whole number)" sqref="V2"/>
    <dataValidation allowBlank="1" showInputMessage="1" prompt="Select one of the follownig options: Female, Male, Unisex" sqref="W2"/>
    <dataValidation allowBlank="1" showInputMessage="1" prompt="Select one of the following options: Adult, Big Kid, Little Kid, Toddler, Infant" sqref="X2"/>
    <dataValidation allowBlank="1" showInputMessage="1" prompt="Provide the size system for the shirt." sqref="Y2"/>
    <dataValidation allowBlank="1" showInputMessage="1" prompt="Provide the size class for the shirt." sqref="Z2"/>
    <dataValidation allowBlank="1" showInputMessage="1" prompt="Provide the size value associated with the size system and size class." sqref="AA2"/>
    <dataValidation allowBlank="1" showInputMessage="1" prompt="Provide the to size value (if range), must be greater than the size value." sqref="AB2"/>
    <dataValidation allowBlank="1" showInputMessage="1" prompt="Provide the neck size for the shirt." sqref="AC2"/>
    <dataValidation allowBlank="1" showInputMessage="1" prompt="Provide the to neck size value (if range), must be greater than the neck size value." sqref="AD2"/>
    <dataValidation allowBlank="1" showInputMessage="1" prompt="Provide the sleeve length for the shirt." sqref="AE2"/>
    <dataValidation allowBlank="1" showInputMessage="1" prompt="Provide the to sleeve length value (if range), must be greater than the sleeve length value." sqref="AF2"/>
    <dataValidation allowBlank="1" showInputMessage="1" prompt="Provide the body type for apparel item, select &quot;Regular&quot; in case of no special body type." sqref="AG2"/>
    <dataValidation allowBlank="1" showInputMessage="1" prompt="Provide the height type for apparel item, select &quot;Regular&quot; in case of no special height type." sqref="AH2"/>
    <dataValidation allowBlank="1" showInputMessage="1" prompt="Images should have 72-pixels-per-inch resolution and be 500 pixels minimum in length (on the longest side). The preferred file format is JPEG (.jpg), and the URL must be fully-formed and valid (i.e., include http://). When naming your image, you may us..." sqref="AI2"/>
    <dataValidation allowBlank="1" showInputMessage="1" prompt="A valid URL, including leading &quot;http://&quot;&#10;&#10;The url is case sensitive, so make sure to use matching capitalization and no redirections (e.g. .jpeg instead of .jpg). While a web browser might be smart enough to locate your image despite of these little in..." sqref="AJ2:AQ2"/>
    <dataValidation allowBlank="1" showInputMessage="1" prompt="Images should have 72-pixels-per-inch resolution and be 30 pixels maximum length (on the longest side). The preferred file format is JPEG (.jpg). When naming your image, please use the following convention: Product SKU + View Indicator (i.e., .swatch) ..." sqref="AR2"/>
    <dataValidation allowBlank="1" showInputMessage="1" prompt="Please select one of the following values: &#10;parent&#10;child" sqref="AS2"/>
    <dataValidation allowBlank="1" showInputMessage="1" prompt="An alphanumeric string; 1 character minimum in length and 40 characters maximum in length." sqref="AT2"/>
    <dataValidation allowBlank="1" showInputMessage="1" prompt="Select one of the following options: &#10;Accessory             Variation               Package Contains" sqref="AU2"/>
    <dataValidation allowBlank="1" showInputMessage="1" prompt="Select and applicable variation theme." sqref="AV2"/>
    <dataValidation allowBlank="1" showInputMessage="1" prompt="Select one of the following options: Unit  Case Pallet" sqref="AW2"/>
    <dataValidation allowBlank="1" showInputMessage="1" sqref="AX2:AY2 CE2:CI2 CO2 CS2 DF2 ED2:EE2 FX2"/>
    <dataValidation allowBlank="1" showInputMessage="1" prompt="An alphanumeric string; 500 characters maximum length per bullet point. Please do not include an actual bullet point object, just the text used to describe your product. Note: Type 1 High ASCII characters (®, ©, ™, etc.) or other special characters are..." sqref="AZ2:BD2"/>
    <dataValidation allowBlank="1" showInputMessage="1" prompt="Search terms that describe your product: no repetition, no competitor brand names or ASINs." sqref="BE2"/>
    <dataValidation allowBlank="1" showInputMessage="1" prompt="Select a value from the Valid Values worksheet." sqref="BF2 BJ2 BL2 BP2:BQ2 BS2:BX2 BZ2:CB2 CN2 CX2:CY2 DA2"/>
    <dataValidation allowBlank="1" showInputMessage="1" prompt="Use the column CollarType in the Valid Values list. An alphanumeric string; 50 characters maximum." sqref="BG2"/>
    <dataValidation allowBlank="1" showInputMessage="1" prompt="An alphanumeric text string; 1 character minimum and 50 characters maximum. If multiple colours are available, a unique record should be submitted for each product." sqref="BH2"/>
    <dataValidation allowBlank="1" showInputMessage="1" prompt="Please see the Valid Values worksheet for the list of accepted values." sqref="BI2 DN2"/>
    <dataValidation allowBlank="1" showInputMessage="1" prompt="Please select a value from the Valid Values tab." sqref="BK2 DK2"/>
    <dataValidation allowBlank="1" showInputMessage="1" prompt="Complete only if Import Designation is “Imported.” Select country shown on product label." sqref="BM2"/>
    <dataValidation allowBlank="1" showInputMessage="1" prompt="An alphanumeric string; 1 character minimum in length and 500 characters maximum in length per entry." sqref="BN2"/>
    <dataValidation allowBlank="1" showInputMessage="1" prompt="Use the column NeckStyle in the Valid Values list. An alphanumeric string; 50 characters maximum." sqref="BO2"/>
    <dataValidation allowBlank="1" showInputMessage="1" prompt="An alphanumeric string. If multiple sizes are available, a unique child record should be submitted for each size." sqref="BR2"/>
    <dataValidation allowBlank="1" showInputMessage="1" prompt="Select from the list of valid values." sqref="BY2 CU2 DU2:DV2"/>
    <dataValidation allowBlank="1" showInputMessage="1" prompt="Select one of the following options:  true or false." sqref="CC2"/>
    <dataValidation allowBlank="1" showInputMessage="1" prompt="Provide a customer-facing, one- or two-word phrase which describes the general type of item the product is" sqref="CD2"/>
    <dataValidation allowBlank="1" showInputMessage="1" prompt="Use the column Sport in the Valid Values list. An alphanumeric string; 50 characters maximum." sqref="CJ2:CK2"/>
    <dataValidation allowBlank="1" showInputMessage="1" prompt="Name of athlete participating in the event" sqref="CL2"/>
    <dataValidation allowBlank="1" showInputMessage="1" prompt="Please enter the team name of this product" sqref="CM2"/>
    <dataValidation allowBlank="1" showInputMessage="1" prompt="Please refer to the BTG." sqref="CP2"/>
    <dataValidation allowBlank="1" showInputMessage="1" prompt="Provide the item's weave type" sqref="CQ2"/>
    <dataValidation allowBlank="1" showInputMessage="1" prompt="Provide the league name associated with this product" sqref="CR2"/>
    <dataValidation allowBlank="1" showInputMessage="1" prompt="Specify the intended supply method for the item" sqref="CT2"/>
    <dataValidation allowBlank="1" showInputMessage="1" prompt="Provide the date a vendor must receive a PO in order to deliver goods to Amazon by a specified date using YYYY-MM-DD format" sqref="CV2"/>
    <dataValidation allowBlank="1" showInputMessage="1" prompt="Select a value from the Valid Values worksheet" sqref="CW2"/>
    <dataValidation allowBlank="1" showInputMessage="1" prompt="Select a value from the StrapType column in the Valid Values tab." sqref="CZ2"/>
    <dataValidation allowBlank="1" showInputMessage="1" prompt="Provide the corresponding unit" sqref="DB2"/>
    <dataValidation allowBlank="1" showInputMessage="1" prompt="Provide the certificate's certifying authority" sqref="DC2"/>
    <dataValidation allowBlank="1" showInputMessage="1" prompt="Provide the amount of time that the product can be used for or is expected to complete" sqref="DD2"/>
    <dataValidation allowBlank="1" showInputMessage="1" prompt="Provide the jurisdiction related to the certification" sqref="DE2"/>
    <dataValidation allowBlank="1" showInputMessage="1" prompt="A number with up to 10 digits to the left of the decimal point and 2 digits to the right of the decimal point. Please do not use commas." sqref="DG2 DI2 DL2 DR2:DT2 EU2 FV2"/>
    <dataValidation allowBlank="1" showInputMessage="1" prompt="Select one of the following options: &#10;GR&#10;KG&#10;OZ&#10;LB" sqref="DH2"/>
    <dataValidation allowBlank="1" showInputMessage="1" prompt="Select one of the following options: CM or IN." sqref="DJ2 DP2"/>
    <dataValidation allowBlank="1" showInputMessage="1" prompt="Select one of the following options: MM, CM, M, IN, FT" sqref="DM2"/>
    <dataValidation allowBlank="1" showInputMessage="1" prompt="A number with up to 10 digits allowed to the left of the decimal point and 2 digits to the right of the decimal point. Please do not use commas." sqref="DO2 GA2"/>
    <dataValidation allowBlank="1" showInputMessage="1" prompt="Select one of the following options: MM, CM, M, IN, or FT." sqref="DQ2"/>
    <dataValidation allowBlank="1" showInputMessage="1" prompt="AMAZON_NA, DEFAULT" sqref="DW2"/>
    <dataValidation allowBlank="1" showInputMessage="1" prompt="A number with up to 10 digits to the left of the decimal point and 2 digits to the right of the decimal point." sqref="DX2:DZ2 EB2"/>
    <dataValidation allowBlank="1" showInputMessage="1" prompt="Select from the following valid values: &#10;IN&#10;FT&#10;MM&#10;CM&#10;M" sqref="EA2"/>
    <dataValidation allowBlank="1" showInputMessage="1" prompt="Select from the following valid values: &#10;OZ&#10;LB&#10;GR&#10;KG" sqref="EC2"/>
    <dataValidation allowBlank="1" showInputMessage="1" prompt="Select applicable regulation type" sqref="EF2:EJ2"/>
    <dataValidation allowBlank="1" showInputMessage="1" prompt="Provide the regulatory identification associated with the regulation type." sqref="EK2:EO2"/>
    <dataValidation allowBlank="1" showInputMessage="1" prompt="Use this field to indicate if a cautionary statement relating to the choking hazards of children's toys and games applies to your product.  These cautionary statements are defined in Section 24 of the Federal Hazardous Substances Act and Section 105 of..." sqref="EP2"/>
    <dataValidation allowBlank="1" showInputMessage="1" prompt="An alphanumeric string; 1 character minimum in length and 250 characters maximum in length." sqref="EQ2"/>
    <dataValidation allowBlank="1" showInputMessage="1" prompt="An alphanumeric text string; 1 character minimum and 50 characters maximum." sqref="ER2"/>
    <dataValidation allowBlank="1" showInputMessage="1" prompt="Imported;&#10;Made in Mexico or Imported;&#10;Made in Mexico and Imported;&#10;Made in Mexico" sqref="ES2"/>
    <dataValidation allowBlank="1" showInputMessage="1" prompt="Provide unit for item weight" sqref="ET2"/>
    <dataValidation allowBlank="1" showInputMessage="1" prompt="Select the option that indicates the country/region where the product originates from." sqref="EV2"/>
    <dataValidation allowBlank="1" showInputMessage="1" prompt="Select 'yes' if batteries are required to power the item (or if the item is a battery) or 'no' if they are not. Please note that an internal rechargeable battery is also considered a battery" sqref="EW2"/>
    <dataValidation allowBlank="1" showInputMessage="1" prompt="Select: true or false" sqref="EX2 HW2 HY2"/>
    <dataValidation allowBlank="1" showInputMessage="1" prompt="What type or composition is the battery?" sqref="EY2"/>
    <dataValidation allowBlank="1" showInputMessage="1" prompt="Please refer to the Valid Values worksheet.  Only use this when PowerSource is 'battery'" sqref="EZ2:FB2"/>
    <dataValidation allowBlank="1" showInputMessage="1" prompt="Any integer greater than or equal to one" sqref="FC2:FE2"/>
    <dataValidation allowBlank="1" showInputMessage="1" prompt="Number up to 10 digits and 2 decimal points long." sqref="FF2"/>
    <dataValidation allowBlank="1" showInputMessage="1" prompt="Provide unit for battery weight" sqref="FG2"/>
    <dataValidation allowBlank="1" showInputMessage="1" prompt="A positive whole number." sqref="FH2:FI2 FK2 FM2 HU2"/>
    <dataValidation allowBlank="1" showInputMessage="1" prompt="Select from one of the following:               nbatteries_onlynbatteries_contained_in_equipmentnbatteries_packed_with_equipment" sqref="FJ2"/>
    <dataValidation allowBlank="1" showInputMessage="1" prompt="Select the corresponding unit" sqref="FL2"/>
    <dataValidation allowBlank="1" showInputMessage="1" prompt="Select the corresponding weight unit" sqref="FN2"/>
    <dataValidation allowBlank="1" showInputMessage="1" prompt="Please select the applicable response from the dropdown." sqref="FO2:FS2"/>
    <dataValidation allowBlank="1" showInputMessage="1" prompt="Hazmat United Nationals Regulatory ID" sqref="FT2"/>
    <dataValidation allowBlank="1" showInputMessage="1" prompt="Holds link to the externally hosted SDS (Safety Data Sheet) for an item" sqref="FU2"/>
    <dataValidation allowBlank="1" showInputMessage="1" prompt="Indicates the volume capacity of a product." sqref="FW2"/>
    <dataValidation allowBlank="1" showInputMessage="1" prompt="Select the applicable authority governing the regulation/restriction" sqref="FY2"/>
    <dataValidation allowBlank="1" showInputMessage="1" prompt="If you have the required certification for compliance, select Compliant; if not, select, Non-compliant, and if not needed, select Exempt" sqref="FZ2"/>
    <dataValidation allowBlank="1" showInputMessage="1" prompt="Provide the certification date of issue using YYYY-MM-DD format" sqref="GB2"/>
    <dataValidation allowBlank="1" showInputMessage="1" prompt="Does your product contain any of the following materials/fabrics subject to regulation: Bamboo, Wool, and/or Fur? Please select all that apply. If none apply, select not applicable." sqref="GC2:GE2"/>
    <dataValidation allowBlank="1" showInputMessage="1" prompt="Provide the required certification information to indicate compliance, such as an EO Number or judgement order. If you do not have one or are Exempt, please submit &quot;NA" sqref="GF2"/>
    <dataValidation allowBlank="1" showInputMessage="1" prompt="Insert the legal compliance certification" sqref="GG2"/>
    <dataValidation allowBlank="1" showInputMessage="1" prompt="Global Harmonized System (GHS) CLP classification system." sqref="GH2:GJ2"/>
    <dataValidation allowBlank="1" showInputMessage="1" prompt="Select the warning type applicable to your product, if any. You certify that the warning provided satisfies legal requirements and that you’ll remove a warning previously provided only if it is no longer legally required." sqref="GK2"/>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GL2:GP2"/>
    <dataValidation allowBlank="1" showInputMessage="1" prompt="Provide any pesticide marking on the item or packaging" sqref="GQ2:GS2"/>
    <dataValidation allowBlank="1" showInputMessage="1" prompt="Provide a status whether the item requires registration and an associated registration number" sqref="GT2:GV2"/>
    <dataValidation allowBlank="1" showInputMessage="1" prompt="Provide any pesticide certification number which corresponds with the marking type" sqref="GW2:GY2"/>
    <dataValidation allowBlank="1" showInputMessage="1" prompt="Indicate whether this product is capable of emitting radio frequency energy, and if so, what type of FCC RF equipment authorization this product has." sqref="GZ2"/>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HA2"/>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HB2"/>
    <dataValidation allowBlank="1" showInputMessage="1" prompt="If the device has a Supplier's Declaration of Conformity, provide the name of the point of contact for the Responsible Party, as defined by the FCC." sqref="HC2"/>
    <dataValidation allowBlank="1" showInputMessage="1" prompt="If the device has an FCC ID, provide it." sqref="HD2"/>
    <dataValidation allowBlank="1" showInputMessage="1" prompt="If the device has a Supplier's Declaration of Conformity, provide a US mailing address for the Responsible Party, as defined by the FCC." sqref="HE2"/>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list price, enter..." sqref="HF2"/>
    <dataValidation allowBlank="1" showInputMessage="1" prompt="For MAP (Minimum Advertised Price) based pricing.  If you have never heard this term before, this function probably does not apply to you." sqref="HG2"/>
    <dataValidation allowBlank="1" showInputMessage="1" prompt="Three letter currency code" sqref="HH2"/>
    <dataValidation allowBlank="1" showInputMessage="1" prompt="Used; Like New&#10;Used; Very Good&#10;Used; Good&#10;Used; Acceptable&#10;Collectible; Like New&#10;Collectible; Very Good&#10;Collectible; Good&#10;Collectible; Acceptable&#10;New" sqref="HI2"/>
    <dataValidation allowBlank="1" showInputMessage="1" prompt="A text string with a maximum of 1,000 characters. The Condition Note field doesn’t allow special characters." sqref="HJ2"/>
    <dataValidation allowBlank="1" showInputMessage="1" prompt="Enter the product tax code supplied to you by Amazon.com." sqref="HK2"/>
    <dataValidation allowBlank="1" showInputMessage="1" prompt="Indicates the time, in days, between when you receive an order for an item and when you can ship the item.  The default is one to two business days. Use this field if you expect to take longer than two business days." sqref="HL2"/>
    <dataValidation allowBlank="1" showInputMessage="1" prompt="This is the date when customers will start viewing this product on Amazon." sqref="HM2"/>
    <dataValidation allowBlank="1" showInputMessage="1" prompt="This field is used to setup pre-order and is the date from when the pre-ordered product will be available to be shipped to customers." sqref="HN2"/>
    <dataValidation allowBlank="1" showInputMessage="1" prompt="This field is used to setup back-order and is the date when the back-ordered products will be available for shipping to customers." sqref="HO2"/>
    <dataValidation allowBlank="1" showInputMessage="1" prompt="The date that the sale price will begin to override the product's standard price; the sale price will be displayed after 0:00AM of Sale From Date." sqref="HQ2"/>
    <dataValidation allowBlank="1" showInputMessage="1" prompt="The last date that the sale price will override the item's standard price; the product's standard price will be displayed after 0:00AM of Sale End Date." sqref="HR2"/>
    <dataValidation allowBlank="1" showInputMessage="1" prompt="This is the date from when customer cannot place an order on your product, irrespective of the stock in hand. But the product still be active, if other Selling Partners are selling this product." sqref="HS2"/>
    <dataValidation allowBlank="1" showInputMessage="1" prompt="A positive integer." sqref="HT2"/>
    <dataValidation allowBlank="1" showInputMessage="1" prompt="The number of items that are included in the product" sqref="HV2"/>
    <dataValidation allowBlank="1" showInputMessage="1" prompt="Select: True or False" sqref="HX2"/>
    <dataValidation allowBlank="1" showInputMessage="1" prompt="The maximum quantity of the product that a customer may purchase in one order" sqref="HZ2"/>
    <dataValidation allowBlank="1" showInputMessage="1" prompt="The ship configuration group for an offer. The ship configuration group is created and managed by the seller through the ship setting UI." sqref="IA2"/>
    <dataValidation allowBlank="1" showInputMessage="1" prompt="Once the product is launched on Amazon, customers can start placing orders on your product from this date." sqref="IB2"/>
    <dataValidation allowBlank="1" showInputMessage="1" prompt="The price at which the merchant offers the product to registered business buyers for sale, expressed in U.S. dollars. " sqref="IC2"/>
    <dataValidation allowBlank="1" showInputMessage="1" prompt="The unit of measure the discount will be expressed in. Either Fixed price in U.S. dollars or Percent Off" sqref="ID2"/>
    <dataValidation allowBlank="1" showInputMessage="1" prompt="The minimum purchase quantity necessary to receive the associated Fixed price or Percent Off price" sqref="IE2 IG2 II2 IK2 IM2"/>
    <dataValidation allowBlank="1" showInputMessage="1" prompt="The Fixed price or Percent Off discount at which the merchant offers the product for sale if the buyer is purchasing at least the associated quantity, expressed in U.S. dollars." sqref="IF2 IH2 IJ2 IL2 IN2"/>
    <dataValidation allowBlank="1" showInputMessage="1" prompt="The unit of measure the discount will be expressed in either Fixed price in U.S. dollars or Percent Off." sqref="IO2"/>
    <dataValidation allowBlank="1" showInputMessage="1" prompt="The minimum purchase quantity necessary to receive the associated Fixed price or Percent Off price." sqref="IP2 IR2 IT2"/>
    <dataValidation allowBlank="1" showInputMessage="1" prompt="The Fixed price or Percent Off discount at which the merchant offers the product for sale if the buyer is purchasing at least the associated quantity." sqref="IQ2 IS2 IU2"/>
    <dataValidation allowBlank="1" showInputMessage="1" prompt="A alpha-numeric 13 digit code. Code identifying standard material items of supply as defined by NATO" sqref="IV2"/>
    <dataValidation allowBlank="1" showInputMessage="1" prompt="An 8 digit code A numeric code classifying products according to the UNSPSC system" sqref="IW2"/>
    <dataValidation allowBlank="1" showInputMessage="1" prompt="&quot;&quot;delete business_price&quot;&quot; (without the quotes)" sqref="IX2"/>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K12"/>
  <sheetViews>
    <sheetView workbookViewId="0">
      <selection activeCell="F3" sqref="F3"/>
    </sheetView>
  </sheetViews>
  <sheetFormatPr defaultColWidth="9" defaultRowHeight="13.5"/>
  <cols>
    <col min="4" max="11" width="14.875" customWidth="1"/>
  </cols>
  <sheetData>
    <row r="4" spans="4:11">
      <c r="D4" t="s">
        <v>61</v>
      </c>
      <c r="E4" t="s">
        <v>1111</v>
      </c>
      <c r="F4" t="s">
        <v>1112</v>
      </c>
      <c r="G4" t="s">
        <v>1113</v>
      </c>
      <c r="H4" t="s">
        <v>1114</v>
      </c>
      <c r="I4" t="s">
        <v>1115</v>
      </c>
      <c r="J4" t="s">
        <v>1116</v>
      </c>
      <c r="K4" t="s">
        <v>1117</v>
      </c>
    </row>
    <row r="5" spans="4:11">
      <c r="D5" t="s">
        <v>1118</v>
      </c>
      <c r="E5" t="s">
        <v>1119</v>
      </c>
      <c r="F5" t="s">
        <v>1120</v>
      </c>
      <c r="G5" t="s">
        <v>1121</v>
      </c>
      <c r="H5" t="s">
        <v>1122</v>
      </c>
      <c r="I5" t="s">
        <v>1123</v>
      </c>
      <c r="J5" t="s">
        <v>1124</v>
      </c>
      <c r="K5" t="s">
        <v>1125</v>
      </c>
    </row>
    <row r="6" spans="4:11">
      <c r="D6" t="s">
        <v>1126</v>
      </c>
      <c r="E6">
        <v>97</v>
      </c>
      <c r="F6">
        <v>104.5</v>
      </c>
      <c r="G6">
        <v>71</v>
      </c>
      <c r="H6">
        <v>60</v>
      </c>
      <c r="I6">
        <v>58</v>
      </c>
      <c r="J6">
        <v>27</v>
      </c>
      <c r="K6">
        <v>33.5</v>
      </c>
    </row>
    <row r="7" spans="4:11">
      <c r="D7" t="s">
        <v>1127</v>
      </c>
      <c r="E7">
        <v>99</v>
      </c>
      <c r="F7">
        <v>106</v>
      </c>
      <c r="G7">
        <v>75</v>
      </c>
      <c r="H7">
        <v>64</v>
      </c>
      <c r="I7">
        <v>60</v>
      </c>
      <c r="J7">
        <v>28</v>
      </c>
      <c r="K7">
        <v>34.5</v>
      </c>
    </row>
    <row r="8" spans="4:11">
      <c r="D8" t="s">
        <v>1128</v>
      </c>
      <c r="E8">
        <v>101</v>
      </c>
      <c r="F8">
        <v>107.5</v>
      </c>
      <c r="G8">
        <v>79</v>
      </c>
      <c r="H8">
        <v>68</v>
      </c>
      <c r="I8">
        <v>62</v>
      </c>
      <c r="J8">
        <v>29</v>
      </c>
      <c r="K8">
        <v>35.5</v>
      </c>
    </row>
    <row r="11" spans="4:11">
      <c r="D11" t="s">
        <v>1129</v>
      </c>
    </row>
    <row r="12" spans="4:11">
      <c r="D12" t="s">
        <v>1130</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step02图片链接</vt:lpstr>
      <vt:lpstr>step01标题尺码信息</vt:lpstr>
      <vt:lpstr>Corlor</vt:lpstr>
      <vt:lpstr>amz自动生成表格</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TaosThink</dc:creator>
  <cp:lastModifiedBy>lee</cp:lastModifiedBy>
  <dcterms:created xsi:type="dcterms:W3CDTF">2022-08-15T07:55:00Z</dcterms:created>
  <dcterms:modified xsi:type="dcterms:W3CDTF">2026-04-13T10:35:31Z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44FC047008F14F909E03DD99537321EB_13</vt:lpwstr>
  </property>
  <property fmtid="{D5CDD505-2E9C-101B-9397-08002B2CF9AE}" pid="3" name="KSOProductBuildVer">
    <vt:lpwstr>2052-12.1.0.25865</vt:lpwstr>
  </property>
  <property fmtid="{D5CDD505-2E9C-101B-9397-08002B2CF9AE}" pid="4" name="KSOReadingLayout">
    <vt:bool>true</vt:bool>
  </property>
  <property fmtid="{D5CDD505-2E9C-101B-9397-08002B2CF9AE}" pid="5" name="CalculationRule">
    <vt:i4>0</vt:i4>
  </property>
</Properties>
</file>